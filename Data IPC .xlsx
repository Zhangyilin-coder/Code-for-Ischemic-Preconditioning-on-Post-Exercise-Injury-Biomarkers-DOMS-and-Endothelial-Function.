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8B644DE-85B3-4782-B4EA-B69BB70F5CD3}" xr6:coauthVersionLast="47" xr6:coauthVersionMax="47" xr10:uidLastSave="{00000000-0000-0000-0000-000000000000}"/>
  <bookViews>
    <workbookView xWindow="-120" yWindow="-120" windowWidth="38640" windowHeight="21120" activeTab="3" xr2:uid="{50911DC3-EE59-459B-BC39-2D5AD1541D14}"/>
  </bookViews>
  <sheets>
    <sheet name="CK" sheetId="2" r:id="rId1"/>
    <sheet name="MP" sheetId="1" r:id="rId2"/>
    <sheet name="cTn" sheetId="4" r:id="rId3"/>
    <sheet name="FMD—0.5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" i="6" l="1"/>
  <c r="X4" i="6"/>
  <c r="W4" i="6"/>
  <c r="V4" i="6"/>
  <c r="Y3" i="6"/>
  <c r="X3" i="6"/>
  <c r="W3" i="6"/>
  <c r="V3" i="6"/>
  <c r="Y2" i="6"/>
  <c r="X2" i="6"/>
  <c r="W2" i="6"/>
  <c r="V2" i="6"/>
  <c r="U13" i="4"/>
  <c r="T13" i="4"/>
  <c r="S13" i="4"/>
  <c r="Y13" i="4" s="1"/>
  <c r="Q13" i="4"/>
  <c r="AC13" i="4" s="1"/>
  <c r="N13" i="4"/>
  <c r="L13" i="4"/>
  <c r="AB13" i="4" s="1"/>
  <c r="AA12" i="4"/>
  <c r="Z12" i="4"/>
  <c r="Y12" i="4"/>
  <c r="X12" i="4"/>
  <c r="W12" i="4"/>
  <c r="V12" i="4"/>
  <c r="U12" i="4"/>
  <c r="T12" i="4"/>
  <c r="S12" i="4"/>
  <c r="Q12" i="4"/>
  <c r="AC12" i="4" s="1"/>
  <c r="N12" i="4"/>
  <c r="AB12" i="4" s="1"/>
  <c r="L12" i="4"/>
  <c r="AB11" i="4"/>
  <c r="Z11" i="4"/>
  <c r="Y11" i="4"/>
  <c r="X11" i="4"/>
  <c r="W11" i="4"/>
  <c r="V11" i="4"/>
  <c r="U11" i="4"/>
  <c r="T11" i="4"/>
  <c r="S11" i="4"/>
  <c r="Q11" i="4"/>
  <c r="AC11" i="4" s="1"/>
  <c r="N11" i="4"/>
  <c r="L11" i="4"/>
  <c r="Z10" i="4"/>
  <c r="X10" i="4"/>
  <c r="V10" i="4"/>
  <c r="U10" i="4"/>
  <c r="T10" i="4"/>
  <c r="S10" i="4"/>
  <c r="W10" i="4" s="1"/>
  <c r="Q10" i="4"/>
  <c r="AC10" i="4" s="1"/>
  <c r="N10" i="4"/>
  <c r="L10" i="4"/>
  <c r="AB10" i="4" s="1"/>
  <c r="U9" i="4"/>
  <c r="T9" i="4"/>
  <c r="S9" i="4"/>
  <c r="Q9" i="4"/>
  <c r="AC9" i="4" s="1"/>
  <c r="N9" i="4"/>
  <c r="X9" i="4" s="1"/>
  <c r="L9" i="4"/>
  <c r="AB9" i="4" s="1"/>
  <c r="V8" i="4"/>
  <c r="U8" i="4"/>
  <c r="T8" i="4"/>
  <c r="S8" i="4"/>
  <c r="Q8" i="4"/>
  <c r="AC8" i="4" s="1"/>
  <c r="N8" i="4"/>
  <c r="L8" i="4"/>
  <c r="AB8" i="4" s="1"/>
  <c r="AC7" i="4"/>
  <c r="AB7" i="4"/>
  <c r="AA7" i="4"/>
  <c r="Z7" i="4"/>
  <c r="Y7" i="4"/>
  <c r="X7" i="4"/>
  <c r="W7" i="4"/>
  <c r="V7" i="4"/>
  <c r="U7" i="4"/>
  <c r="T7" i="4"/>
  <c r="AC6" i="4"/>
  <c r="AB6" i="4"/>
  <c r="AA6" i="4"/>
  <c r="Z6" i="4"/>
  <c r="Y6" i="4"/>
  <c r="X6" i="4"/>
  <c r="W6" i="4"/>
  <c r="V6" i="4"/>
  <c r="U6" i="4"/>
  <c r="T6" i="4"/>
  <c r="AC5" i="4"/>
  <c r="AB5" i="4"/>
  <c r="AA5" i="4"/>
  <c r="Z5" i="4"/>
  <c r="Y5" i="4"/>
  <c r="X5" i="4"/>
  <c r="W5" i="4"/>
  <c r="V5" i="4"/>
  <c r="U5" i="4"/>
  <c r="T5" i="4"/>
  <c r="AC4" i="4"/>
  <c r="AB4" i="4"/>
  <c r="AA4" i="4"/>
  <c r="Z4" i="4"/>
  <c r="Y4" i="4"/>
  <c r="X4" i="4"/>
  <c r="W4" i="4"/>
  <c r="V4" i="4"/>
  <c r="U4" i="4"/>
  <c r="T4" i="4"/>
  <c r="AC3" i="4"/>
  <c r="AB3" i="4"/>
  <c r="AA3" i="4"/>
  <c r="Z3" i="4"/>
  <c r="Y3" i="4"/>
  <c r="X3" i="4"/>
  <c r="W3" i="4"/>
  <c r="V3" i="4"/>
  <c r="U3" i="4"/>
  <c r="T3" i="4"/>
  <c r="AC2" i="4"/>
  <c r="AB2" i="4"/>
  <c r="AA2" i="4"/>
  <c r="Z2" i="4"/>
  <c r="Y2" i="4"/>
  <c r="X2" i="4"/>
  <c r="W2" i="4"/>
  <c r="V2" i="4"/>
  <c r="U2" i="4"/>
  <c r="T2" i="4"/>
  <c r="V9" i="4" l="1"/>
  <c r="W9" i="4"/>
  <c r="Y10" i="4"/>
  <c r="AA11" i="4"/>
  <c r="W8" i="4"/>
  <c r="Y9" i="4"/>
  <c r="AA10" i="4"/>
  <c r="X8" i="4"/>
  <c r="Z9" i="4"/>
  <c r="Y8" i="4"/>
  <c r="AA9" i="4"/>
  <c r="Z8" i="4"/>
  <c r="AA8" i="4"/>
  <c r="V13" i="4"/>
  <c r="W13" i="4"/>
  <c r="X13" i="4"/>
  <c r="Z13" i="4"/>
  <c r="AA13" i="4"/>
  <c r="AE19" i="2"/>
  <c r="AD19" i="2"/>
  <c r="AC19" i="2"/>
  <c r="AB19" i="2"/>
  <c r="AA19" i="2"/>
  <c r="Z19" i="2"/>
  <c r="Y19" i="2"/>
  <c r="X19" i="2"/>
  <c r="W19" i="2"/>
  <c r="V19" i="2"/>
  <c r="AE18" i="2"/>
  <c r="AD18" i="2"/>
  <c r="AC18" i="2"/>
  <c r="AB18" i="2"/>
  <c r="AA18" i="2"/>
  <c r="Z18" i="2"/>
  <c r="Y18" i="2"/>
  <c r="X18" i="2"/>
  <c r="W18" i="2"/>
  <c r="V18" i="2"/>
  <c r="AE17" i="2"/>
  <c r="AD17" i="2"/>
  <c r="AC17" i="2"/>
  <c r="AB17" i="2"/>
  <c r="AA17" i="2"/>
  <c r="Z17" i="2"/>
  <c r="Y17" i="2"/>
  <c r="X17" i="2"/>
  <c r="W17" i="2"/>
  <c r="V17" i="2"/>
  <c r="AE16" i="2"/>
  <c r="AD16" i="2"/>
  <c r="AC16" i="2"/>
  <c r="AB16" i="2"/>
  <c r="AA16" i="2"/>
  <c r="Z16" i="2"/>
  <c r="Y16" i="2"/>
  <c r="X16" i="2"/>
  <c r="W16" i="2"/>
  <c r="V16" i="2"/>
  <c r="AE15" i="2"/>
  <c r="AD15" i="2"/>
  <c r="AC15" i="2"/>
  <c r="AB15" i="2"/>
  <c r="AA15" i="2"/>
  <c r="Z15" i="2"/>
  <c r="Y15" i="2"/>
  <c r="X15" i="2"/>
  <c r="W15" i="2"/>
  <c r="V15" i="2"/>
  <c r="AE14" i="2"/>
  <c r="AD14" i="2"/>
  <c r="AC14" i="2"/>
  <c r="AB14" i="2"/>
  <c r="AA14" i="2"/>
  <c r="Z14" i="2"/>
  <c r="Y14" i="2"/>
  <c r="X14" i="2"/>
  <c r="W14" i="2"/>
  <c r="V14" i="2"/>
  <c r="AE13" i="2"/>
  <c r="AD13" i="2"/>
  <c r="AC13" i="2"/>
  <c r="AB13" i="2"/>
  <c r="AA13" i="2"/>
  <c r="Z13" i="2"/>
  <c r="Y13" i="2"/>
  <c r="X13" i="2"/>
  <c r="W13" i="2"/>
  <c r="V13" i="2"/>
  <c r="AE12" i="2"/>
  <c r="AD12" i="2"/>
  <c r="AC12" i="2"/>
  <c r="AB12" i="2"/>
  <c r="AA12" i="2"/>
  <c r="Z12" i="2"/>
  <c r="Y12" i="2"/>
  <c r="X12" i="2"/>
  <c r="W12" i="2"/>
  <c r="V12" i="2"/>
  <c r="AE11" i="2"/>
  <c r="AD11" i="2"/>
  <c r="AC11" i="2"/>
  <c r="AB11" i="2"/>
  <c r="AA11" i="2"/>
  <c r="Z11" i="2"/>
  <c r="Y11" i="2"/>
  <c r="X11" i="2"/>
  <c r="W11" i="2"/>
  <c r="V11" i="2"/>
  <c r="AE10" i="2"/>
  <c r="AD10" i="2"/>
  <c r="AC10" i="2"/>
  <c r="AB10" i="2"/>
  <c r="AA10" i="2"/>
  <c r="Z10" i="2"/>
  <c r="Y10" i="2"/>
  <c r="X10" i="2"/>
  <c r="W10" i="2"/>
  <c r="V10" i="2"/>
  <c r="AE9" i="2"/>
  <c r="AD9" i="2"/>
  <c r="AC9" i="2"/>
  <c r="AB9" i="2"/>
  <c r="AA9" i="2"/>
  <c r="Z9" i="2"/>
  <c r="Y9" i="2"/>
  <c r="X9" i="2"/>
  <c r="W9" i="2"/>
  <c r="V9" i="2"/>
  <c r="AE8" i="2"/>
  <c r="AD8" i="2"/>
  <c r="AC8" i="2"/>
  <c r="AB8" i="2"/>
  <c r="AA8" i="2"/>
  <c r="Z8" i="2"/>
  <c r="Y8" i="2"/>
  <c r="X8" i="2"/>
  <c r="W8" i="2"/>
  <c r="V8" i="2"/>
  <c r="AE7" i="2"/>
  <c r="AD7" i="2"/>
  <c r="AC7" i="2"/>
  <c r="AB7" i="2"/>
  <c r="AA7" i="2"/>
  <c r="Z7" i="2"/>
  <c r="Y7" i="2"/>
  <c r="X7" i="2"/>
  <c r="W7" i="2"/>
  <c r="V7" i="2"/>
  <c r="AE6" i="2"/>
  <c r="AD6" i="2"/>
  <c r="AC6" i="2"/>
  <c r="AB6" i="2"/>
  <c r="AA6" i="2"/>
  <c r="Z6" i="2"/>
  <c r="Y6" i="2"/>
  <c r="X6" i="2"/>
  <c r="W6" i="2"/>
  <c r="V6" i="2"/>
  <c r="AE5" i="2"/>
  <c r="AD5" i="2"/>
  <c r="AC5" i="2"/>
  <c r="AB5" i="2"/>
  <c r="AA5" i="2"/>
  <c r="Z5" i="2"/>
  <c r="Y5" i="2"/>
  <c r="X5" i="2"/>
  <c r="W5" i="2"/>
  <c r="V5" i="2"/>
  <c r="AE4" i="2"/>
  <c r="AD4" i="2"/>
  <c r="AC4" i="2"/>
  <c r="AB4" i="2"/>
  <c r="AA4" i="2"/>
  <c r="Z4" i="2"/>
  <c r="Y4" i="2"/>
  <c r="X4" i="2"/>
  <c r="W4" i="2"/>
  <c r="V4" i="2"/>
  <c r="AE3" i="2"/>
  <c r="AD3" i="2"/>
  <c r="AC3" i="2"/>
  <c r="AB3" i="2"/>
  <c r="AA3" i="2"/>
  <c r="Z3" i="2"/>
  <c r="Y3" i="2"/>
  <c r="X3" i="2"/>
  <c r="W3" i="2"/>
  <c r="V3" i="2"/>
  <c r="AE2" i="2"/>
  <c r="AD2" i="2"/>
  <c r="AC2" i="2"/>
  <c r="AB2" i="2"/>
  <c r="AA2" i="2"/>
  <c r="Z2" i="2"/>
  <c r="Y2" i="2"/>
  <c r="X2" i="2"/>
  <c r="W2" i="2"/>
  <c r="V2" i="2"/>
  <c r="AE41" i="1" l="1"/>
  <c r="AD41" i="1"/>
  <c r="AC41" i="1"/>
  <c r="AB41" i="1"/>
  <c r="AA41" i="1"/>
  <c r="Z41" i="1"/>
  <c r="Y41" i="1"/>
  <c r="X41" i="1"/>
  <c r="W41" i="1"/>
  <c r="V41" i="1"/>
  <c r="AE40" i="1"/>
  <c r="AD40" i="1"/>
  <c r="AC40" i="1"/>
  <c r="AB40" i="1"/>
  <c r="AA40" i="1"/>
  <c r="Z40" i="1"/>
  <c r="Y40" i="1"/>
  <c r="X40" i="1"/>
  <c r="W40" i="1"/>
  <c r="V40" i="1"/>
  <c r="AE39" i="1"/>
  <c r="AD39" i="1"/>
  <c r="AC39" i="1"/>
  <c r="AB39" i="1"/>
  <c r="AA39" i="1"/>
  <c r="Z39" i="1"/>
  <c r="Y39" i="1"/>
  <c r="X39" i="1"/>
  <c r="W39" i="1"/>
  <c r="V39" i="1"/>
  <c r="AE38" i="1"/>
  <c r="AD38" i="1"/>
  <c r="AC38" i="1"/>
  <c r="AB38" i="1"/>
  <c r="AA38" i="1"/>
  <c r="Z38" i="1"/>
  <c r="Y38" i="1"/>
  <c r="X38" i="1"/>
  <c r="W38" i="1"/>
  <c r="V38" i="1"/>
  <c r="AE37" i="1"/>
  <c r="AD37" i="1"/>
  <c r="AC37" i="1"/>
  <c r="AB37" i="1"/>
  <c r="AA37" i="1"/>
  <c r="Z37" i="1"/>
  <c r="Y37" i="1"/>
  <c r="X37" i="1"/>
  <c r="W37" i="1"/>
  <c r="V37" i="1"/>
  <c r="AE36" i="1"/>
  <c r="AD36" i="1"/>
  <c r="AC36" i="1"/>
  <c r="AB36" i="1"/>
  <c r="AA36" i="1"/>
  <c r="Z36" i="1"/>
  <c r="Y36" i="1"/>
  <c r="X36" i="1"/>
  <c r="W36" i="1"/>
  <c r="V36" i="1"/>
  <c r="AE35" i="1"/>
  <c r="AD35" i="1"/>
  <c r="AC35" i="1"/>
  <c r="AB35" i="1"/>
  <c r="AA35" i="1"/>
  <c r="Z35" i="1"/>
  <c r="Y35" i="1"/>
  <c r="X35" i="1"/>
  <c r="W35" i="1"/>
  <c r="V35" i="1"/>
  <c r="AE34" i="1"/>
  <c r="AD34" i="1"/>
  <c r="AC34" i="1"/>
  <c r="AB34" i="1"/>
  <c r="AA34" i="1"/>
  <c r="Z34" i="1"/>
  <c r="Y34" i="1"/>
  <c r="X34" i="1"/>
  <c r="W34" i="1"/>
  <c r="V34" i="1"/>
  <c r="AE33" i="1"/>
  <c r="AD33" i="1"/>
  <c r="AC33" i="1"/>
  <c r="AB33" i="1"/>
  <c r="AA33" i="1"/>
  <c r="Z33" i="1"/>
  <c r="Y33" i="1"/>
  <c r="X33" i="1"/>
  <c r="W33" i="1"/>
  <c r="V33" i="1"/>
  <c r="AE32" i="1"/>
  <c r="AD32" i="1"/>
  <c r="AC32" i="1"/>
  <c r="AB32" i="1"/>
  <c r="AA32" i="1"/>
  <c r="Z32" i="1"/>
  <c r="Y32" i="1"/>
  <c r="X32" i="1"/>
  <c r="W32" i="1"/>
  <c r="V32" i="1"/>
  <c r="AE31" i="1"/>
  <c r="AD31" i="1"/>
  <c r="AC31" i="1"/>
  <c r="AB31" i="1"/>
  <c r="AA31" i="1"/>
  <c r="Z31" i="1"/>
  <c r="Y31" i="1"/>
  <c r="X31" i="1"/>
  <c r="W31" i="1"/>
  <c r="V31" i="1"/>
  <c r="AE30" i="1"/>
  <c r="AD30" i="1"/>
  <c r="AC30" i="1"/>
  <c r="AB30" i="1"/>
  <c r="AA30" i="1"/>
  <c r="Z30" i="1"/>
  <c r="Y30" i="1"/>
  <c r="X30" i="1"/>
  <c r="W30" i="1"/>
  <c r="V30" i="1"/>
  <c r="AE29" i="1"/>
  <c r="AD29" i="1"/>
  <c r="AC29" i="1"/>
  <c r="AB29" i="1"/>
  <c r="AA29" i="1"/>
  <c r="Z29" i="1"/>
  <c r="Y29" i="1"/>
  <c r="X29" i="1"/>
  <c r="W29" i="1"/>
  <c r="V29" i="1"/>
  <c r="AE28" i="1"/>
  <c r="AD28" i="1"/>
  <c r="AC28" i="1"/>
  <c r="AB28" i="1"/>
  <c r="AA28" i="1"/>
  <c r="Z28" i="1"/>
  <c r="Y28" i="1"/>
  <c r="X28" i="1"/>
  <c r="W28" i="1"/>
  <c r="V28" i="1"/>
  <c r="AE27" i="1"/>
  <c r="AD27" i="1"/>
  <c r="AC27" i="1"/>
  <c r="AB27" i="1"/>
  <c r="AA27" i="1"/>
  <c r="Z27" i="1"/>
  <c r="Y27" i="1"/>
  <c r="X27" i="1"/>
  <c r="W27" i="1"/>
  <c r="V27" i="1"/>
  <c r="AE26" i="1"/>
  <c r="AD26" i="1"/>
  <c r="AC26" i="1"/>
  <c r="AB26" i="1"/>
  <c r="AA26" i="1"/>
  <c r="Z26" i="1"/>
  <c r="Y26" i="1"/>
  <c r="X26" i="1"/>
  <c r="W26" i="1"/>
  <c r="V26" i="1"/>
  <c r="AE25" i="1"/>
  <c r="AD25" i="1"/>
  <c r="AC25" i="1"/>
  <c r="AB25" i="1"/>
  <c r="AA25" i="1"/>
  <c r="Z25" i="1"/>
  <c r="Y25" i="1"/>
  <c r="X25" i="1"/>
  <c r="W25" i="1"/>
  <c r="V25" i="1"/>
  <c r="AE24" i="1"/>
  <c r="AD24" i="1"/>
  <c r="AC24" i="1"/>
  <c r="AB24" i="1"/>
  <c r="AA24" i="1"/>
  <c r="Z24" i="1"/>
  <c r="Y24" i="1"/>
  <c r="X24" i="1"/>
  <c r="W24" i="1"/>
  <c r="V24" i="1"/>
  <c r="AE23" i="1"/>
  <c r="AD23" i="1"/>
  <c r="AC23" i="1"/>
  <c r="AB23" i="1"/>
  <c r="AA23" i="1"/>
  <c r="Z23" i="1"/>
  <c r="Y23" i="1"/>
  <c r="X23" i="1"/>
  <c r="W23" i="1"/>
  <c r="V23" i="1"/>
  <c r="AE22" i="1"/>
  <c r="AD22" i="1"/>
  <c r="AC22" i="1"/>
  <c r="AB22" i="1"/>
  <c r="AA22" i="1"/>
  <c r="Z22" i="1"/>
  <c r="Y22" i="1"/>
  <c r="X22" i="1"/>
  <c r="W22" i="1"/>
  <c r="V22" i="1"/>
  <c r="AE21" i="1"/>
  <c r="AD21" i="1"/>
  <c r="AC21" i="1"/>
  <c r="AB21" i="1"/>
  <c r="AA21" i="1"/>
  <c r="Z21" i="1"/>
  <c r="Y21" i="1"/>
  <c r="X21" i="1"/>
  <c r="W21" i="1"/>
  <c r="V21" i="1"/>
  <c r="AE20" i="1"/>
  <c r="AD20" i="1"/>
  <c r="AC20" i="1"/>
  <c r="AB20" i="1"/>
  <c r="AA20" i="1"/>
  <c r="Z20" i="1"/>
  <c r="Y20" i="1"/>
  <c r="X20" i="1"/>
  <c r="W20" i="1"/>
  <c r="V20" i="1"/>
  <c r="AE19" i="1"/>
  <c r="AD19" i="1"/>
  <c r="AC19" i="1"/>
  <c r="AB19" i="1"/>
  <c r="AA19" i="1"/>
  <c r="Z19" i="1"/>
  <c r="Y19" i="1"/>
  <c r="X19" i="1"/>
  <c r="W19" i="1"/>
  <c r="V19" i="1"/>
  <c r="AE18" i="1"/>
  <c r="AD18" i="1"/>
  <c r="AC18" i="1"/>
  <c r="AB18" i="1"/>
  <c r="AA18" i="1"/>
  <c r="Z18" i="1"/>
  <c r="Y18" i="1"/>
  <c r="X18" i="1"/>
  <c r="W18" i="1"/>
  <c r="V18" i="1"/>
  <c r="AE17" i="1"/>
  <c r="AD17" i="1"/>
  <c r="AC17" i="1"/>
  <c r="AB17" i="1"/>
  <c r="AA17" i="1"/>
  <c r="Z17" i="1"/>
  <c r="Y17" i="1"/>
  <c r="X17" i="1"/>
  <c r="W17" i="1"/>
  <c r="V17" i="1"/>
  <c r="AE16" i="1"/>
  <c r="AD16" i="1"/>
  <c r="AC16" i="1"/>
  <c r="AB16" i="1"/>
  <c r="AA16" i="1"/>
  <c r="Z16" i="1"/>
  <c r="Y16" i="1"/>
  <c r="X16" i="1"/>
  <c r="W16" i="1"/>
  <c r="V16" i="1"/>
  <c r="AE15" i="1"/>
  <c r="AD15" i="1"/>
  <c r="AC15" i="1"/>
  <c r="AB15" i="1"/>
  <c r="AA15" i="1"/>
  <c r="Z15" i="1"/>
  <c r="Y15" i="1"/>
  <c r="X15" i="1"/>
  <c r="W15" i="1"/>
  <c r="V15" i="1"/>
  <c r="AE14" i="1"/>
  <c r="AD14" i="1"/>
  <c r="AC14" i="1"/>
  <c r="AB14" i="1"/>
  <c r="AA14" i="1"/>
  <c r="Z14" i="1"/>
  <c r="Y14" i="1"/>
  <c r="X14" i="1"/>
  <c r="W14" i="1"/>
  <c r="V14" i="1"/>
  <c r="AE13" i="1"/>
  <c r="AD13" i="1"/>
  <c r="AC13" i="1"/>
  <c r="AB13" i="1"/>
  <c r="AA13" i="1"/>
  <c r="Z13" i="1"/>
  <c r="Y13" i="1"/>
  <c r="X13" i="1"/>
  <c r="W13" i="1"/>
  <c r="V13" i="1"/>
  <c r="AE12" i="1"/>
  <c r="AD12" i="1"/>
  <c r="AC12" i="1"/>
  <c r="AB12" i="1"/>
  <c r="AA12" i="1"/>
  <c r="Z12" i="1"/>
  <c r="Y12" i="1"/>
  <c r="X12" i="1"/>
  <c r="W12" i="1"/>
  <c r="V12" i="1"/>
  <c r="AE11" i="1"/>
  <c r="AD11" i="1"/>
  <c r="AC11" i="1"/>
  <c r="AB11" i="1"/>
  <c r="AA11" i="1"/>
  <c r="Z11" i="1"/>
  <c r="Y11" i="1"/>
  <c r="X11" i="1"/>
  <c r="W11" i="1"/>
  <c r="V11" i="1"/>
  <c r="AE10" i="1"/>
  <c r="AD10" i="1"/>
  <c r="AC10" i="1"/>
  <c r="AB10" i="1"/>
  <c r="AA10" i="1"/>
  <c r="Z10" i="1"/>
  <c r="Y10" i="1"/>
  <c r="X10" i="1"/>
  <c r="W10" i="1"/>
  <c r="V10" i="1"/>
  <c r="AE9" i="1"/>
  <c r="AD9" i="1"/>
  <c r="AC9" i="1"/>
  <c r="AB9" i="1"/>
  <c r="AA9" i="1"/>
  <c r="Z9" i="1"/>
  <c r="Y9" i="1"/>
  <c r="X9" i="1"/>
  <c r="W9" i="1"/>
  <c r="V9" i="1"/>
  <c r="AE8" i="1"/>
  <c r="AD8" i="1"/>
  <c r="AC8" i="1"/>
  <c r="AB8" i="1"/>
  <c r="AA8" i="1"/>
  <c r="Z8" i="1"/>
  <c r="Y8" i="1"/>
  <c r="X8" i="1"/>
  <c r="W8" i="1"/>
  <c r="V8" i="1"/>
  <c r="AE7" i="1"/>
  <c r="AD7" i="1"/>
  <c r="AC7" i="1"/>
  <c r="AB7" i="1"/>
  <c r="AA7" i="1"/>
  <c r="Z7" i="1"/>
  <c r="Y7" i="1"/>
  <c r="X7" i="1"/>
  <c r="W7" i="1"/>
  <c r="V7" i="1"/>
  <c r="AE6" i="1"/>
  <c r="AD6" i="1"/>
  <c r="AC6" i="1"/>
  <c r="AB6" i="1"/>
  <c r="AA6" i="1"/>
  <c r="Z6" i="1"/>
  <c r="Y6" i="1"/>
  <c r="X6" i="1"/>
  <c r="W6" i="1"/>
  <c r="V6" i="1"/>
  <c r="AE5" i="1"/>
  <c r="AD5" i="1"/>
  <c r="AC5" i="1"/>
  <c r="AB5" i="1"/>
  <c r="AA5" i="1"/>
  <c r="Z5" i="1"/>
  <c r="Y5" i="1"/>
  <c r="X5" i="1"/>
  <c r="W5" i="1"/>
  <c r="V5" i="1"/>
  <c r="AE4" i="1"/>
  <c r="AD4" i="1"/>
  <c r="AC4" i="1"/>
  <c r="AB4" i="1"/>
  <c r="AA4" i="1"/>
  <c r="Z4" i="1"/>
  <c r="Y4" i="1"/>
  <c r="X4" i="1"/>
  <c r="W4" i="1"/>
  <c r="V4" i="1"/>
  <c r="AE3" i="1"/>
  <c r="AD3" i="1"/>
  <c r="AC3" i="1"/>
  <c r="AB3" i="1"/>
  <c r="AA3" i="1"/>
  <c r="Z3" i="1"/>
  <c r="Y3" i="1"/>
  <c r="X3" i="1"/>
  <c r="W3" i="1"/>
  <c r="V3" i="1"/>
  <c r="AE2" i="1"/>
  <c r="AD2" i="1"/>
  <c r="AC2" i="1"/>
  <c r="AB2" i="1"/>
  <c r="AA2" i="1"/>
  <c r="Z2" i="1"/>
  <c r="Y2" i="1"/>
  <c r="X2" i="1"/>
  <c r="W2" i="1"/>
  <c r="V2" i="1"/>
</calcChain>
</file>

<file path=xl/sharedStrings.xml><?xml version="1.0" encoding="utf-8"?>
<sst xmlns="http://schemas.openxmlformats.org/spreadsheetml/2006/main" count="607" uniqueCount="91">
  <si>
    <t xml:space="preserve">study   </t>
  </si>
  <si>
    <t>Comparison</t>
    <phoneticPr fontId="3" type="noConversion"/>
  </si>
  <si>
    <t>sex</t>
  </si>
  <si>
    <t xml:space="preserve">age </t>
  </si>
  <si>
    <t>IPC sets</t>
  </si>
  <si>
    <t>mmHg</t>
  </si>
  <si>
    <t>IPC limb</t>
  </si>
  <si>
    <t>IPC interval</t>
  </si>
  <si>
    <t xml:space="preserve"> Type of exercise</t>
  </si>
  <si>
    <t>Details</t>
    <phoneticPr fontId="3" type="noConversion"/>
  </si>
  <si>
    <t>Window</t>
    <phoneticPr fontId="3" type="noConversion"/>
  </si>
  <si>
    <t>IPCn</t>
  </si>
  <si>
    <t>IPCmeanpre</t>
  </si>
  <si>
    <t>IPCsdpre</t>
  </si>
  <si>
    <t>IPCmeanpost</t>
  </si>
  <si>
    <t>IPCsdpost</t>
  </si>
  <si>
    <t>CONn</t>
  </si>
  <si>
    <t>CONmeanpre</t>
  </si>
  <si>
    <t>CONsdpre</t>
  </si>
  <si>
    <t>CONmeanpost</t>
  </si>
  <si>
    <t>CONsdpost</t>
  </si>
  <si>
    <t>IPCmeanchange</t>
  </si>
  <si>
    <t>CONmeanchange</t>
  </si>
  <si>
    <t>IPCsdchange</t>
  </si>
  <si>
    <t>CONsdchange</t>
  </si>
  <si>
    <t>R=0.7IPCsdchange</t>
  </si>
  <si>
    <t>R=0.7CONsdchange</t>
  </si>
  <si>
    <t>R=0.8IPCsdchange</t>
  </si>
  <si>
    <t>R=0.8CONsdchange</t>
  </si>
  <si>
    <t>R=0.9IPCsdchange</t>
  </si>
  <si>
    <t>R=0.9CONsdchange</t>
  </si>
  <si>
    <t>rho</t>
  </si>
  <si>
    <t>esid</t>
  </si>
  <si>
    <t>id</t>
  </si>
  <si>
    <t>studyid</t>
  </si>
  <si>
    <t>Santos Cerqueira et al. (2021)</t>
    <phoneticPr fontId="3" type="noConversion"/>
  </si>
  <si>
    <t>IPC vs SHAM</t>
  </si>
  <si>
    <t>male</t>
  </si>
  <si>
    <t>4 x 5 min</t>
  </si>
  <si>
    <t>Thighs</t>
  </si>
  <si>
    <t>RT</t>
  </si>
  <si>
    <t>Santos Cerqueira et al. (2021)</t>
  </si>
  <si>
    <t>Patterson el al. (2021)</t>
    <phoneticPr fontId="3" type="noConversion"/>
  </si>
  <si>
    <t>3 x 5 min</t>
  </si>
  <si>
    <t>0-2</t>
    <phoneticPr fontId="3" type="noConversion"/>
  </si>
  <si>
    <t>Franz et al. (2018)</t>
    <phoneticPr fontId="3" type="noConversion"/>
  </si>
  <si>
    <t>IPC vs CON</t>
  </si>
  <si>
    <t>Arms</t>
    <phoneticPr fontId="2" type="noConversion"/>
  </si>
  <si>
    <t>Fan el al. (2025)</t>
  </si>
  <si>
    <t>Fan el al. (2025)</t>
    <phoneticPr fontId="3" type="noConversion"/>
  </si>
  <si>
    <t>Daab el al. (2025)</t>
    <phoneticPr fontId="2" type="noConversion"/>
  </si>
  <si>
    <t>IPC vs SHAM</t>
    <phoneticPr fontId="2" type="noConversion"/>
  </si>
  <si>
    <t>soccer</t>
    <phoneticPr fontId="2" type="noConversion"/>
  </si>
  <si>
    <t>0-2</t>
    <phoneticPr fontId="2" type="noConversion"/>
  </si>
  <si>
    <t>Pereira el al. (2020)</t>
    <phoneticPr fontId="2" type="noConversion"/>
  </si>
  <si>
    <t>Arms and Thighs</t>
  </si>
  <si>
    <t>Pereira el al. (2020)</t>
  </si>
  <si>
    <t>female</t>
  </si>
  <si>
    <t>Xin et al. (2024)</t>
    <phoneticPr fontId="2" type="noConversion"/>
  </si>
  <si>
    <t>Tennis</t>
  </si>
  <si>
    <t>R=0.7IPCsdchange</t>
    <phoneticPr fontId="2" type="noConversion"/>
  </si>
  <si>
    <t>Santos Cerqueira et al. (2021)</t>
    <phoneticPr fontId="2" type="noConversion"/>
  </si>
  <si>
    <t>Franz  et al. (2018)</t>
    <phoneticPr fontId="2" type="noConversion"/>
  </si>
  <si>
    <t>0-3</t>
    <phoneticPr fontId="3" type="noConversion"/>
  </si>
  <si>
    <t>Franz  et al. (2018)</t>
  </si>
  <si>
    <t>Fan el al. (2025)</t>
    <phoneticPr fontId="2" type="noConversion"/>
  </si>
  <si>
    <t>Mieszkowski et al. (2021)</t>
    <phoneticPr fontId="3" type="noConversion"/>
  </si>
  <si>
    <t>male</t>
    <phoneticPr fontId="3" type="noConversion"/>
  </si>
  <si>
    <t>10 days × 3 x 5 min</t>
    <phoneticPr fontId="2" type="noConversion"/>
  </si>
  <si>
    <t>running</t>
    <phoneticPr fontId="3" type="noConversion"/>
  </si>
  <si>
    <t>El Messaoudi. (2013)</t>
    <phoneticPr fontId="3" type="noConversion"/>
  </si>
  <si>
    <t>Arms</t>
  </si>
  <si>
    <t>NA</t>
    <phoneticPr fontId="2" type="noConversion"/>
  </si>
  <si>
    <t>cycling</t>
    <phoneticPr fontId="2" type="noConversion"/>
  </si>
  <si>
    <t xml:space="preserve">study   </t>
    <phoneticPr fontId="2" type="noConversion"/>
  </si>
  <si>
    <t>Outcome</t>
  </si>
  <si>
    <t xml:space="preserve">Bailey et al. (2012) </t>
    <phoneticPr fontId="3" type="noConversion"/>
  </si>
  <si>
    <t>Thighs</t>
    <phoneticPr fontId="2" type="noConversion"/>
  </si>
  <si>
    <t>Running</t>
  </si>
  <si>
    <t>FMD</t>
    <phoneticPr fontId="3" type="noConversion"/>
  </si>
  <si>
    <t xml:space="preserve">Cocking et al. (2018) </t>
    <phoneticPr fontId="3" type="noConversion"/>
  </si>
  <si>
    <t>RT</t>
    <phoneticPr fontId="3" type="noConversion"/>
  </si>
  <si>
    <t>Shannon et al. (2024)</t>
    <phoneticPr fontId="3" type="noConversion"/>
  </si>
  <si>
    <t>2 weeks</t>
    <phoneticPr fontId="3" type="noConversion"/>
  </si>
  <si>
    <t>Cocking et al. (2017)</t>
  </si>
  <si>
    <t>NA</t>
  </si>
  <si>
    <t>Arms and Thighs</t>
    <phoneticPr fontId="2" type="noConversion"/>
  </si>
  <si>
    <t>Cycling</t>
  </si>
  <si>
    <t>Cocking et al. (2017)</t>
    <phoneticPr fontId="3" type="noConversion"/>
  </si>
  <si>
    <t>El Messaoudi. (2013)</t>
  </si>
  <si>
    <t>study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</si>
</sst>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6CFC-28DF-4B94-88B5-C9948A909DFA}">
  <dimension ref="A1:AI19"/>
  <sheetViews>
    <sheetView workbookViewId="0">
      <selection activeCell="K5" sqref="K5:K7"/>
    </sheetView>
  </sheetViews>
  <sheetFormatPr defaultRowHeight="14.25" x14ac:dyDescent="0.2"/>
  <sheetData>
    <row r="1" spans="1:35" s="32" customFormat="1" ht="12.75" x14ac:dyDescent="0.2">
      <c r="A1" s="1" t="s">
        <v>74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60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15" x14ac:dyDescent="0.2">
      <c r="A2" s="33" t="s">
        <v>61</v>
      </c>
      <c r="B2" s="5" t="s">
        <v>36</v>
      </c>
      <c r="C2" s="5" t="s">
        <v>37</v>
      </c>
      <c r="D2" s="6">
        <v>26.5</v>
      </c>
      <c r="E2" s="6" t="s">
        <v>38</v>
      </c>
      <c r="F2" s="6">
        <v>141</v>
      </c>
      <c r="G2" s="6" t="s">
        <v>39</v>
      </c>
      <c r="H2" s="6">
        <v>20</v>
      </c>
      <c r="I2" s="6" t="s">
        <v>40</v>
      </c>
      <c r="J2" s="6">
        <v>24</v>
      </c>
      <c r="K2" s="6">
        <v>24</v>
      </c>
      <c r="L2" s="6">
        <v>15</v>
      </c>
      <c r="M2" s="6">
        <v>179.8</v>
      </c>
      <c r="N2" s="6">
        <v>79.5</v>
      </c>
      <c r="O2" s="6">
        <v>439.3</v>
      </c>
      <c r="P2" s="6">
        <v>312.89999999999998</v>
      </c>
      <c r="Q2" s="6">
        <v>15</v>
      </c>
      <c r="R2" s="6">
        <v>158.9</v>
      </c>
      <c r="S2" s="6">
        <v>48.9</v>
      </c>
      <c r="T2" s="6">
        <v>382.8</v>
      </c>
      <c r="U2" s="6">
        <v>281.10000000000002</v>
      </c>
      <c r="V2" s="6">
        <f>O2-M2</f>
        <v>259.5</v>
      </c>
      <c r="W2" s="6">
        <f>T2-R2</f>
        <v>223.9</v>
      </c>
      <c r="X2" s="6">
        <f>SQRT(POWER(N2,2)+POWER(P2,2)-(0.6*2*N2*P2))</f>
        <v>272.7196362567243</v>
      </c>
      <c r="Y2" s="6">
        <f>SQRT(POWER(S2,2)+POWER(U2,2)-(0.6*2*S2*U2))</f>
        <v>254.78122379798714</v>
      </c>
      <c r="Z2" s="6">
        <f>SQRT(POWER(N2,2)+POWER(P2,2)-(0.7*2*N2*P2))</f>
        <v>263.44048663787424</v>
      </c>
      <c r="AA2" s="6">
        <f>SQRT(POWER(S2,2)+POWER(U2,2)-(0.7*2*S2*U2))</f>
        <v>249.32772409020222</v>
      </c>
      <c r="AB2" s="6">
        <f>SQRT(POWER(N2,2)+POWER(P2,2)-(0.8*2*N2*P2))</f>
        <v>253.82233944237453</v>
      </c>
      <c r="AC2" s="6">
        <f>SQRT(POWER(S2,2)+POWER(U2,2)-(0.8*2*S2*U2))</f>
        <v>243.75224306660238</v>
      </c>
      <c r="AD2" s="6">
        <f>SQRT(POWER(N2,2)+POWER(P2,2)-(0.9*2*N2*P2))</f>
        <v>243.82508074437297</v>
      </c>
      <c r="AE2" s="6">
        <f>SQRT(POWER(S2,2)+POWER(U2,2)-(0.9*2*S2*U2))</f>
        <v>238.04620979969417</v>
      </c>
      <c r="AF2" s="6"/>
      <c r="AG2" s="6">
        <v>1</v>
      </c>
      <c r="AH2" s="6">
        <v>1</v>
      </c>
      <c r="AI2" s="6">
        <v>1</v>
      </c>
    </row>
    <row r="3" spans="1:35" ht="15" x14ac:dyDescent="0.2">
      <c r="A3" s="33" t="s">
        <v>41</v>
      </c>
      <c r="B3" s="5" t="s">
        <v>36</v>
      </c>
      <c r="C3" s="5" t="s">
        <v>37</v>
      </c>
      <c r="D3" s="6">
        <v>26.5</v>
      </c>
      <c r="E3" s="6" t="s">
        <v>38</v>
      </c>
      <c r="F3" s="6">
        <v>141</v>
      </c>
      <c r="G3" s="6" t="s">
        <v>39</v>
      </c>
      <c r="H3" s="6">
        <v>20</v>
      </c>
      <c r="I3" s="6" t="s">
        <v>40</v>
      </c>
      <c r="J3" s="6">
        <v>48</v>
      </c>
      <c r="K3" s="6">
        <v>48</v>
      </c>
      <c r="L3" s="6">
        <v>15</v>
      </c>
      <c r="M3" s="6">
        <v>179.8</v>
      </c>
      <c r="N3" s="6">
        <v>79.5</v>
      </c>
      <c r="O3" s="6">
        <v>506.1</v>
      </c>
      <c r="P3" s="6">
        <v>415.2</v>
      </c>
      <c r="Q3" s="6">
        <v>15</v>
      </c>
      <c r="R3" s="6">
        <v>158.9</v>
      </c>
      <c r="S3" s="6">
        <v>48.9</v>
      </c>
      <c r="T3" s="6">
        <v>417.7</v>
      </c>
      <c r="U3" s="6">
        <v>380.3</v>
      </c>
      <c r="V3" s="6">
        <f>O3-M3</f>
        <v>326.3</v>
      </c>
      <c r="W3" s="6">
        <f>T3-R3</f>
        <v>258.79999999999995</v>
      </c>
      <c r="X3" s="6">
        <f>SQRT(POWER(N3,2)+POWER(P3,2)-(0.6*2*N3*P3))</f>
        <v>372.96274612888618</v>
      </c>
      <c r="Y3" s="6">
        <f>SQRT(POWER(S3,2)+POWER(U3,2)-(0.6*2*S3*U3))</f>
        <v>353.13353848084154</v>
      </c>
      <c r="Z3" s="6">
        <f>SQRT(POWER(N3,2)+POWER(P3,2)-(0.7*2*N3*P3))</f>
        <v>364.00484886880281</v>
      </c>
      <c r="AA3" s="6">
        <f>SQRT(POWER(S3,2)+POWER(U3,2)-(0.7*2*S3*U3))</f>
        <v>347.82748885043571</v>
      </c>
      <c r="AB3" s="6">
        <f>SQRT(POWER(N3,2)+POWER(P3,2)-(0.8*2*N3*P3))</f>
        <v>354.82087029936667</v>
      </c>
      <c r="AC3" s="6">
        <f>SQRT(POWER(S3,2)+POWER(U3,2)-(0.8*2*S3*U3))</f>
        <v>342.43923256542899</v>
      </c>
      <c r="AD3" s="6">
        <f>SQRT(POWER(N3,2)+POWER(P3,2)-(0.9*2*N3*P3))</f>
        <v>345.39277641548904</v>
      </c>
      <c r="AE3" s="6">
        <f>SQRT(POWER(S3,2)+POWER(U3,2)-(0.9*2*S3*U3))</f>
        <v>336.9648260575575</v>
      </c>
      <c r="AG3" s="6">
        <v>2</v>
      </c>
      <c r="AH3" s="6">
        <v>2</v>
      </c>
      <c r="AI3" s="6">
        <v>1</v>
      </c>
    </row>
    <row r="4" spans="1:35" ht="15" x14ac:dyDescent="0.2">
      <c r="A4" s="33" t="s">
        <v>61</v>
      </c>
      <c r="B4" s="5" t="s">
        <v>36</v>
      </c>
      <c r="C4" s="5" t="s">
        <v>37</v>
      </c>
      <c r="D4" s="6">
        <v>26.5</v>
      </c>
      <c r="E4" s="6" t="s">
        <v>38</v>
      </c>
      <c r="F4" s="6">
        <v>141</v>
      </c>
      <c r="G4" s="6" t="s">
        <v>39</v>
      </c>
      <c r="H4" s="6">
        <v>20</v>
      </c>
      <c r="I4" s="6" t="s">
        <v>40</v>
      </c>
      <c r="J4" s="6">
        <v>72</v>
      </c>
      <c r="K4" s="6">
        <v>72</v>
      </c>
      <c r="L4" s="6">
        <v>15</v>
      </c>
      <c r="M4" s="6">
        <v>179.8</v>
      </c>
      <c r="N4" s="6">
        <v>79.5</v>
      </c>
      <c r="O4" s="6">
        <v>588.9</v>
      </c>
      <c r="P4" s="6">
        <v>715.1</v>
      </c>
      <c r="Q4" s="6">
        <v>15</v>
      </c>
      <c r="R4" s="6">
        <v>158.9</v>
      </c>
      <c r="S4" s="6">
        <v>48.9</v>
      </c>
      <c r="T4" s="6">
        <v>550.20000000000005</v>
      </c>
      <c r="U4" s="6">
        <v>619.79999999999995</v>
      </c>
      <c r="V4" s="6">
        <f>O4-M4</f>
        <v>409.09999999999997</v>
      </c>
      <c r="W4" s="6">
        <f>T4-R4</f>
        <v>391.30000000000007</v>
      </c>
      <c r="X4" s="6">
        <f>SQRT(POWER(N4,2)+POWER(P4,2)-(0.6*2*N4*P4))</f>
        <v>670.42353777295148</v>
      </c>
      <c r="Y4" s="6">
        <f>SQRT(POWER(S4,2)+POWER(U4,2)-(0.6*2*S4*U4))</f>
        <v>591.75449808176359</v>
      </c>
      <c r="Z4" s="6">
        <f>SQRT(POWER(N4,2)+POWER(P4,2)-(0.7*2*N4*P4))</f>
        <v>661.88943940812351</v>
      </c>
      <c r="AA4" s="6">
        <f>SQRT(POWER(S4,2)+POWER(U4,2)-(0.7*2*S4*U4))</f>
        <v>586.61038347441479</v>
      </c>
      <c r="AB4" s="6">
        <f>SQRT(POWER(N4,2)+POWER(P4,2)-(0.8*2*N4*P4))</f>
        <v>653.24385951955185</v>
      </c>
      <c r="AC4" s="6">
        <f>SQRT(POWER(S4,2)+POWER(U4,2)-(0.8*2*S4*U4))</f>
        <v>581.42075814336033</v>
      </c>
      <c r="AD4" s="6">
        <f>SQRT(POWER(N4,2)+POWER(P4,2)-(0.9*2*N4*P4))</f>
        <v>644.48231162693673</v>
      </c>
      <c r="AE4" s="6">
        <f>SQRT(POWER(S4,2)+POWER(U4,2)-(0.9*2*S4*U4))</f>
        <v>576.18439236064</v>
      </c>
      <c r="AG4" s="6">
        <v>3</v>
      </c>
      <c r="AH4" s="6">
        <v>3</v>
      </c>
      <c r="AI4" s="6">
        <v>1</v>
      </c>
    </row>
    <row r="5" spans="1:35" ht="15" x14ac:dyDescent="0.2">
      <c r="A5" s="33" t="s">
        <v>62</v>
      </c>
      <c r="B5" s="5" t="s">
        <v>46</v>
      </c>
      <c r="C5" s="6" t="s">
        <v>37</v>
      </c>
      <c r="D5" s="6">
        <v>25</v>
      </c>
      <c r="E5" s="6" t="s">
        <v>43</v>
      </c>
      <c r="F5" s="6">
        <v>200</v>
      </c>
      <c r="G5" s="6" t="s">
        <v>47</v>
      </c>
      <c r="H5" s="6">
        <v>5</v>
      </c>
      <c r="I5" s="6" t="s">
        <v>40</v>
      </c>
      <c r="J5" s="6">
        <v>0</v>
      </c>
      <c r="K5" s="6" t="s">
        <v>63</v>
      </c>
      <c r="L5" s="6">
        <v>10</v>
      </c>
      <c r="M5" s="6">
        <v>216.6</v>
      </c>
      <c r="N5" s="6">
        <v>125.8</v>
      </c>
      <c r="O5" s="6">
        <v>219</v>
      </c>
      <c r="P5" s="6">
        <v>120</v>
      </c>
      <c r="Q5" s="6">
        <v>9</v>
      </c>
      <c r="R5" s="6">
        <v>216.6</v>
      </c>
      <c r="S5" s="6">
        <v>125.8</v>
      </c>
      <c r="T5" s="6">
        <v>227.6</v>
      </c>
      <c r="U5" s="6">
        <v>169.7</v>
      </c>
      <c r="V5" s="6">
        <f t="shared" ref="V5:V18" si="0">O5-M5</f>
        <v>2.4000000000000057</v>
      </c>
      <c r="W5" s="6">
        <f t="shared" ref="W5:W18" si="1">T5-R5</f>
        <v>11</v>
      </c>
      <c r="X5" s="6">
        <f t="shared" ref="X5:X18" si="2">SQRT(POWER(N5,2)+POWER(P5,2)-(0.6*2*N5*P5))</f>
        <v>110.04744431380496</v>
      </c>
      <c r="Y5" s="6">
        <f t="shared" ref="Y5:Y18" si="3">SQRT(POWER(S5,2)+POWER(U5,2)-(0.6*2*S5*U5))</f>
        <v>137.8615900096905</v>
      </c>
      <c r="Z5" s="6">
        <f t="shared" ref="Z5:Z18" si="4">SQRT(POWER(N5,2)+POWER(P5,2)-(0.7*2*N5*P5))</f>
        <v>95.34799421068071</v>
      </c>
      <c r="AA5" s="6">
        <f t="shared" ref="AA5:AA18" si="5">SQRT(POWER(S5,2)+POWER(U5,2)-(0.7*2*S5*U5))</f>
        <v>121.39261097776915</v>
      </c>
      <c r="AB5" s="6">
        <f t="shared" ref="AB5:AB18" si="6">SQRT(POWER(N5,2)+POWER(P5,2)-(0.8*2*N5*P5))</f>
        <v>77.923295618191105</v>
      </c>
      <c r="AC5" s="6">
        <f t="shared" ref="AC5:AC18" si="7">SQRT(POWER(S5,2)+POWER(U5,2)-(0.8*2*S5*U5))</f>
        <v>102.30598222977967</v>
      </c>
      <c r="AD5" s="6">
        <f t="shared" ref="AD5:AD18" si="8">SQRT(POWER(N5,2)+POWER(P5,2)-(0.9*2*N5*P5))</f>
        <v>55.252511255145684</v>
      </c>
      <c r="AE5" s="6">
        <f t="shared" ref="AE5:AE18" si="9">SQRT(POWER(S5,2)+POWER(U5,2)-(0.9*2*S5*U5))</f>
        <v>78.72014989823127</v>
      </c>
      <c r="AG5" s="6">
        <v>4</v>
      </c>
      <c r="AH5" s="6">
        <v>1</v>
      </c>
      <c r="AI5" s="6">
        <v>2</v>
      </c>
    </row>
    <row r="6" spans="1:35" ht="15" x14ac:dyDescent="0.2">
      <c r="A6" s="33" t="s">
        <v>64</v>
      </c>
      <c r="B6" s="5" t="s">
        <v>46</v>
      </c>
      <c r="C6" s="6" t="s">
        <v>37</v>
      </c>
      <c r="D6" s="6">
        <v>25</v>
      </c>
      <c r="E6" s="6" t="s">
        <v>43</v>
      </c>
      <c r="F6" s="6">
        <v>200</v>
      </c>
      <c r="G6" s="6" t="s">
        <v>47</v>
      </c>
      <c r="H6" s="6">
        <v>5</v>
      </c>
      <c r="I6" s="6" t="s">
        <v>40</v>
      </c>
      <c r="J6" s="6">
        <v>0.3</v>
      </c>
      <c r="K6" s="6" t="s">
        <v>63</v>
      </c>
      <c r="L6" s="6">
        <v>10</v>
      </c>
      <c r="M6" s="6">
        <v>216.6</v>
      </c>
      <c r="N6" s="6">
        <v>125.8</v>
      </c>
      <c r="O6" s="6">
        <v>215.4</v>
      </c>
      <c r="P6" s="6">
        <v>117</v>
      </c>
      <c r="Q6" s="6">
        <v>9</v>
      </c>
      <c r="R6" s="6">
        <v>216.6</v>
      </c>
      <c r="S6" s="6">
        <v>125.8</v>
      </c>
      <c r="T6" s="6">
        <v>228.9</v>
      </c>
      <c r="U6" s="6">
        <v>158.19999999999999</v>
      </c>
      <c r="V6" s="6">
        <f t="shared" si="0"/>
        <v>-1.1999999999999886</v>
      </c>
      <c r="W6" s="6">
        <f t="shared" si="1"/>
        <v>12.300000000000011</v>
      </c>
      <c r="X6" s="6">
        <f t="shared" si="2"/>
        <v>108.8683608767947</v>
      </c>
      <c r="Y6" s="6">
        <f t="shared" si="3"/>
        <v>130.27282141720889</v>
      </c>
      <c r="Z6" s="6">
        <f t="shared" si="4"/>
        <v>94.385380223846113</v>
      </c>
      <c r="AA6" s="6">
        <f t="shared" si="5"/>
        <v>113.97673446804836</v>
      </c>
      <c r="AB6" s="6">
        <f t="shared" si="6"/>
        <v>77.232635588849362</v>
      </c>
      <c r="AC6" s="6">
        <f t="shared" si="7"/>
        <v>94.923042513396069</v>
      </c>
      <c r="AD6" s="6">
        <f t="shared" si="8"/>
        <v>54.965079823466098</v>
      </c>
      <c r="AE6" s="6">
        <f t="shared" si="9"/>
        <v>70.923000500542841</v>
      </c>
      <c r="AG6" s="6">
        <v>5</v>
      </c>
      <c r="AH6" s="6">
        <v>2</v>
      </c>
      <c r="AI6" s="6">
        <v>2</v>
      </c>
    </row>
    <row r="7" spans="1:35" ht="15" x14ac:dyDescent="0.2">
      <c r="A7" s="33" t="s">
        <v>64</v>
      </c>
      <c r="B7" s="5" t="s">
        <v>46</v>
      </c>
      <c r="C7" s="6" t="s">
        <v>37</v>
      </c>
      <c r="D7" s="6">
        <v>25</v>
      </c>
      <c r="E7" s="6" t="s">
        <v>43</v>
      </c>
      <c r="F7" s="6">
        <v>200</v>
      </c>
      <c r="G7" s="6" t="s">
        <v>47</v>
      </c>
      <c r="H7" s="6">
        <v>5</v>
      </c>
      <c r="I7" s="6" t="s">
        <v>40</v>
      </c>
      <c r="J7" s="6">
        <v>2</v>
      </c>
      <c r="K7" s="6" t="s">
        <v>63</v>
      </c>
      <c r="L7" s="6">
        <v>10</v>
      </c>
      <c r="M7" s="6">
        <v>216.6</v>
      </c>
      <c r="N7" s="6">
        <v>125.8</v>
      </c>
      <c r="O7" s="6">
        <v>219</v>
      </c>
      <c r="P7" s="6">
        <v>117.4</v>
      </c>
      <c r="Q7" s="6">
        <v>9</v>
      </c>
      <c r="R7" s="6">
        <v>216.6</v>
      </c>
      <c r="S7" s="6">
        <v>125.8</v>
      </c>
      <c r="T7" s="6">
        <v>254.8</v>
      </c>
      <c r="U7" s="6">
        <v>193.1</v>
      </c>
      <c r="V7" s="6">
        <f t="shared" si="0"/>
        <v>2.4000000000000057</v>
      </c>
      <c r="W7" s="6">
        <f t="shared" si="1"/>
        <v>38.200000000000017</v>
      </c>
      <c r="X7" s="6">
        <f t="shared" si="2"/>
        <v>109.02153915626033</v>
      </c>
      <c r="Y7" s="6">
        <f t="shared" si="3"/>
        <v>154.79946382336084</v>
      </c>
      <c r="Z7" s="6">
        <f t="shared" si="4"/>
        <v>94.508793241687329</v>
      </c>
      <c r="AA7" s="6">
        <f t="shared" si="5"/>
        <v>138.21894949680382</v>
      </c>
      <c r="AB7" s="6">
        <f t="shared" si="6"/>
        <v>77.318354871272319</v>
      </c>
      <c r="AC7" s="6">
        <f t="shared" si="7"/>
        <v>119.35695203883184</v>
      </c>
      <c r="AD7" s="6">
        <f t="shared" si="8"/>
        <v>54.994036040283504</v>
      </c>
      <c r="AE7" s="6">
        <f t="shared" si="9"/>
        <v>96.890071730802234</v>
      </c>
      <c r="AG7" s="6">
        <v>6</v>
      </c>
      <c r="AH7" s="6">
        <v>3</v>
      </c>
      <c r="AI7" s="6">
        <v>2</v>
      </c>
    </row>
    <row r="8" spans="1:35" ht="15" x14ac:dyDescent="0.2">
      <c r="A8" s="33" t="s">
        <v>64</v>
      </c>
      <c r="B8" s="5" t="s">
        <v>46</v>
      </c>
      <c r="C8" s="6" t="s">
        <v>37</v>
      </c>
      <c r="D8" s="6">
        <v>25</v>
      </c>
      <c r="E8" s="6" t="s">
        <v>43</v>
      </c>
      <c r="F8" s="6">
        <v>200</v>
      </c>
      <c r="G8" s="6" t="s">
        <v>47</v>
      </c>
      <c r="H8" s="6">
        <v>5</v>
      </c>
      <c r="I8" s="6" t="s">
        <v>40</v>
      </c>
      <c r="J8" s="6">
        <v>24</v>
      </c>
      <c r="K8" s="6">
        <v>24</v>
      </c>
      <c r="L8" s="6">
        <v>10</v>
      </c>
      <c r="M8" s="6">
        <v>216.6</v>
      </c>
      <c r="N8" s="6">
        <v>125.8</v>
      </c>
      <c r="O8" s="6">
        <v>237.9</v>
      </c>
      <c r="P8" s="6">
        <v>183.6</v>
      </c>
      <c r="Q8" s="6">
        <v>9</v>
      </c>
      <c r="R8" s="6">
        <v>216.6</v>
      </c>
      <c r="S8" s="6">
        <v>125.8</v>
      </c>
      <c r="T8" s="6">
        <v>3507.9</v>
      </c>
      <c r="U8" s="6">
        <v>5243</v>
      </c>
      <c r="V8" s="6">
        <f t="shared" si="0"/>
        <v>21.300000000000011</v>
      </c>
      <c r="W8" s="6">
        <f t="shared" si="1"/>
        <v>3291.3</v>
      </c>
      <c r="X8" s="6">
        <f t="shared" si="2"/>
        <v>147.71033816222885</v>
      </c>
      <c r="Y8" s="6">
        <f t="shared" si="3"/>
        <v>5168.4999139015181</v>
      </c>
      <c r="Z8" s="6">
        <f t="shared" si="4"/>
        <v>131.14483596390673</v>
      </c>
      <c r="AA8" s="6">
        <f t="shared" si="5"/>
        <v>5155.7227892895871</v>
      </c>
      <c r="AB8" s="6">
        <f t="shared" si="6"/>
        <v>112.15878030720553</v>
      </c>
      <c r="AC8" s="6">
        <f t="shared" si="7"/>
        <v>5142.9139211151496</v>
      </c>
      <c r="AD8" s="6">
        <f t="shared" si="8"/>
        <v>89.220042591337062</v>
      </c>
      <c r="AE8" s="6">
        <f t="shared" si="9"/>
        <v>5130.0730716043408</v>
      </c>
      <c r="AG8" s="6">
        <v>7</v>
      </c>
      <c r="AH8" s="6">
        <v>4</v>
      </c>
      <c r="AI8" s="6">
        <v>2</v>
      </c>
    </row>
    <row r="9" spans="1:35" ht="15" x14ac:dyDescent="0.2">
      <c r="A9" s="33" t="s">
        <v>64</v>
      </c>
      <c r="B9" s="5" t="s">
        <v>46</v>
      </c>
      <c r="C9" s="6" t="s">
        <v>37</v>
      </c>
      <c r="D9" s="6">
        <v>25</v>
      </c>
      <c r="E9" s="6" t="s">
        <v>43</v>
      </c>
      <c r="F9" s="6">
        <v>200</v>
      </c>
      <c r="G9" s="6" t="s">
        <v>47</v>
      </c>
      <c r="H9" s="6">
        <v>5</v>
      </c>
      <c r="I9" s="6" t="s">
        <v>40</v>
      </c>
      <c r="J9" s="6">
        <v>48</v>
      </c>
      <c r="K9" s="6">
        <v>48</v>
      </c>
      <c r="L9" s="6">
        <v>10</v>
      </c>
      <c r="M9" s="6">
        <v>216.6</v>
      </c>
      <c r="N9" s="6">
        <v>125.8</v>
      </c>
      <c r="O9" s="6">
        <v>533.4</v>
      </c>
      <c r="P9" s="6">
        <v>714.6</v>
      </c>
      <c r="Q9" s="6">
        <v>9</v>
      </c>
      <c r="R9" s="6">
        <v>216.6</v>
      </c>
      <c r="S9" s="6">
        <v>125.8</v>
      </c>
      <c r="T9" s="6">
        <v>10032.4</v>
      </c>
      <c r="U9" s="6">
        <v>15888.6</v>
      </c>
      <c r="V9" s="6">
        <f t="shared" si="0"/>
        <v>316.79999999999995</v>
      </c>
      <c r="W9" s="6">
        <f t="shared" si="1"/>
        <v>9815.7999999999993</v>
      </c>
      <c r="X9" s="6">
        <f t="shared" si="2"/>
        <v>646.99519627273901</v>
      </c>
      <c r="Y9" s="6">
        <f t="shared" si="3"/>
        <v>15813.440250116355</v>
      </c>
      <c r="Z9" s="6">
        <f t="shared" si="4"/>
        <v>632.94821905113224</v>
      </c>
      <c r="AA9" s="6">
        <f t="shared" si="5"/>
        <v>15800.7954030169</v>
      </c>
      <c r="AB9" s="6">
        <f t="shared" si="6"/>
        <v>618.58234051741249</v>
      </c>
      <c r="AC9" s="6">
        <f t="shared" si="7"/>
        <v>15788.140428562194</v>
      </c>
      <c r="AD9" s="6">
        <f t="shared" si="8"/>
        <v>603.8748015938404</v>
      </c>
      <c r="AE9" s="6">
        <f t="shared" si="9"/>
        <v>15775.475302379957</v>
      </c>
      <c r="AG9" s="6">
        <v>8</v>
      </c>
      <c r="AH9" s="6">
        <v>5</v>
      </c>
      <c r="AI9" s="6">
        <v>2</v>
      </c>
    </row>
    <row r="10" spans="1:35" ht="15" x14ac:dyDescent="0.2">
      <c r="A10" s="33" t="s">
        <v>64</v>
      </c>
      <c r="B10" s="5" t="s">
        <v>46</v>
      </c>
      <c r="C10" s="6" t="s">
        <v>37</v>
      </c>
      <c r="D10" s="6">
        <v>25</v>
      </c>
      <c r="E10" s="6" t="s">
        <v>43</v>
      </c>
      <c r="F10" s="6">
        <v>200</v>
      </c>
      <c r="G10" s="6" t="s">
        <v>47</v>
      </c>
      <c r="H10" s="6">
        <v>5</v>
      </c>
      <c r="I10" s="6" t="s">
        <v>40</v>
      </c>
      <c r="J10" s="6">
        <v>72</v>
      </c>
      <c r="K10" s="6">
        <v>72</v>
      </c>
      <c r="L10" s="6">
        <v>10</v>
      </c>
      <c r="M10" s="6">
        <v>216.6</v>
      </c>
      <c r="N10" s="6">
        <v>125.8</v>
      </c>
      <c r="O10" s="6">
        <v>996.1</v>
      </c>
      <c r="P10" s="6">
        <v>1243.5999999999999</v>
      </c>
      <c r="Q10" s="6">
        <v>9</v>
      </c>
      <c r="R10" s="6">
        <v>216.6</v>
      </c>
      <c r="S10" s="6">
        <v>125.8</v>
      </c>
      <c r="T10" s="6">
        <v>24316</v>
      </c>
      <c r="U10" s="6">
        <v>18752.400000000001</v>
      </c>
      <c r="V10" s="6">
        <f t="shared" si="0"/>
        <v>779.5</v>
      </c>
      <c r="W10" s="6">
        <f t="shared" si="1"/>
        <v>24099.4</v>
      </c>
      <c r="X10" s="6">
        <f t="shared" si="2"/>
        <v>1172.44733101321</v>
      </c>
      <c r="Y10" s="6">
        <f t="shared" si="3"/>
        <v>18677.191145779925</v>
      </c>
      <c r="Z10" s="6">
        <f t="shared" si="4"/>
        <v>1159.0270781996423</v>
      </c>
      <c r="AA10" s="6">
        <f t="shared" si="5"/>
        <v>18664.556215243909</v>
      </c>
      <c r="AB10" s="6">
        <f t="shared" si="6"/>
        <v>1145.4496025578776</v>
      </c>
      <c r="AC10" s="6">
        <f t="shared" si="7"/>
        <v>18651.912725723334</v>
      </c>
      <c r="AD10" s="6">
        <f t="shared" si="8"/>
        <v>1131.7092453452872</v>
      </c>
      <c r="AE10" s="6">
        <f t="shared" si="9"/>
        <v>18639.260659800861</v>
      </c>
      <c r="AG10" s="6">
        <v>9</v>
      </c>
      <c r="AH10" s="6">
        <v>6</v>
      </c>
      <c r="AI10" s="6">
        <v>2</v>
      </c>
    </row>
    <row r="11" spans="1:35" ht="15" x14ac:dyDescent="0.2">
      <c r="A11" s="33" t="s">
        <v>65</v>
      </c>
      <c r="B11" s="5" t="s">
        <v>46</v>
      </c>
      <c r="C11" s="5" t="s">
        <v>37</v>
      </c>
      <c r="D11" s="5">
        <v>20.399999999999999</v>
      </c>
      <c r="E11" s="6" t="s">
        <v>43</v>
      </c>
      <c r="F11" s="6">
        <v>220</v>
      </c>
      <c r="G11" s="6" t="s">
        <v>39</v>
      </c>
      <c r="H11" s="6">
        <v>0</v>
      </c>
      <c r="I11" s="6" t="s">
        <v>40</v>
      </c>
      <c r="J11" s="6">
        <v>24</v>
      </c>
      <c r="K11" s="6">
        <v>24</v>
      </c>
      <c r="L11" s="6">
        <v>9</v>
      </c>
      <c r="M11" s="6">
        <v>239.74</v>
      </c>
      <c r="N11" s="6">
        <v>79.25</v>
      </c>
      <c r="O11" s="6">
        <v>401.75</v>
      </c>
      <c r="P11" s="6">
        <v>186.2</v>
      </c>
      <c r="Q11" s="6">
        <v>9</v>
      </c>
      <c r="R11" s="6">
        <v>251.98</v>
      </c>
      <c r="S11" s="6">
        <v>86.7</v>
      </c>
      <c r="T11" s="6">
        <v>741.56</v>
      </c>
      <c r="U11" s="6">
        <v>202.25</v>
      </c>
      <c r="V11" s="6">
        <f t="shared" si="0"/>
        <v>162.01</v>
      </c>
      <c r="W11" s="6">
        <f t="shared" si="1"/>
        <v>489.57999999999993</v>
      </c>
      <c r="X11" s="6">
        <f t="shared" si="2"/>
        <v>152.45780563815023</v>
      </c>
      <c r="Y11" s="6">
        <f t="shared" si="3"/>
        <v>165.46861484885886</v>
      </c>
      <c r="Z11" s="6">
        <f t="shared" si="4"/>
        <v>142.45038609986284</v>
      </c>
      <c r="AA11" s="6">
        <f t="shared" si="5"/>
        <v>154.5084059201958</v>
      </c>
      <c r="AB11" s="6">
        <f t="shared" si="6"/>
        <v>131.68463274049859</v>
      </c>
      <c r="AC11" s="6">
        <f t="shared" si="7"/>
        <v>142.70890827134795</v>
      </c>
      <c r="AD11" s="6">
        <f t="shared" si="8"/>
        <v>119.95654421497809</v>
      </c>
      <c r="AE11" s="6">
        <f t="shared" si="9"/>
        <v>129.8415091563557</v>
      </c>
      <c r="AG11" s="6">
        <v>10</v>
      </c>
      <c r="AH11" s="6">
        <v>1</v>
      </c>
      <c r="AI11" s="6">
        <v>3</v>
      </c>
    </row>
    <row r="12" spans="1:35" ht="15" x14ac:dyDescent="0.2">
      <c r="A12" s="33" t="s">
        <v>49</v>
      </c>
      <c r="B12" s="5" t="s">
        <v>46</v>
      </c>
      <c r="C12" s="5" t="s">
        <v>37</v>
      </c>
      <c r="D12" s="5">
        <v>20.399999999999999</v>
      </c>
      <c r="E12" s="6" t="s">
        <v>43</v>
      </c>
      <c r="F12" s="6">
        <v>220</v>
      </c>
      <c r="G12" s="6" t="s">
        <v>39</v>
      </c>
      <c r="H12" s="6">
        <v>0</v>
      </c>
      <c r="I12" s="6" t="s">
        <v>40</v>
      </c>
      <c r="J12" s="6">
        <v>48</v>
      </c>
      <c r="K12" s="6">
        <v>48</v>
      </c>
      <c r="L12" s="6">
        <v>9</v>
      </c>
      <c r="M12" s="6">
        <v>239.74</v>
      </c>
      <c r="N12" s="6">
        <v>79.25</v>
      </c>
      <c r="O12" s="6">
        <v>378.71</v>
      </c>
      <c r="P12" s="6">
        <v>205.59</v>
      </c>
      <c r="Q12" s="6">
        <v>9</v>
      </c>
      <c r="R12" s="6">
        <v>251.98</v>
      </c>
      <c r="S12" s="6">
        <v>86.7</v>
      </c>
      <c r="T12" s="6">
        <v>684.83</v>
      </c>
      <c r="U12" s="6">
        <v>170.12</v>
      </c>
      <c r="V12" s="6">
        <f t="shared" si="0"/>
        <v>138.96999999999997</v>
      </c>
      <c r="W12" s="6">
        <f t="shared" si="1"/>
        <v>432.85</v>
      </c>
      <c r="X12" s="6">
        <f t="shared" si="2"/>
        <v>170.28271080764483</v>
      </c>
      <c r="Y12" s="6">
        <f t="shared" si="3"/>
        <v>136.96137995800132</v>
      </c>
      <c r="Z12" s="6">
        <f t="shared" si="4"/>
        <v>160.42942404683751</v>
      </c>
      <c r="AA12" s="6">
        <f t="shared" si="5"/>
        <v>125.73201183469547</v>
      </c>
      <c r="AB12" s="6">
        <f t="shared" si="6"/>
        <v>149.92997899019397</v>
      </c>
      <c r="AC12" s="6">
        <f t="shared" si="7"/>
        <v>113.39602285794685</v>
      </c>
      <c r="AD12" s="6">
        <f t="shared" si="8"/>
        <v>138.6376467630636</v>
      </c>
      <c r="AE12" s="6">
        <f t="shared" si="9"/>
        <v>99.542841028373303</v>
      </c>
      <c r="AG12" s="6">
        <v>11</v>
      </c>
      <c r="AH12" s="6">
        <v>2</v>
      </c>
      <c r="AI12" s="6">
        <v>3</v>
      </c>
    </row>
    <row r="13" spans="1:35" ht="15" x14ac:dyDescent="0.2">
      <c r="A13" s="33" t="s">
        <v>42</v>
      </c>
      <c r="B13" s="5" t="s">
        <v>36</v>
      </c>
      <c r="C13" s="5" t="s">
        <v>37</v>
      </c>
      <c r="D13" s="5">
        <v>23</v>
      </c>
      <c r="E13" s="6" t="s">
        <v>43</v>
      </c>
      <c r="F13" s="6">
        <v>220</v>
      </c>
      <c r="G13" s="6" t="s">
        <v>39</v>
      </c>
      <c r="H13" s="6">
        <v>15</v>
      </c>
      <c r="I13" s="6" t="s">
        <v>40</v>
      </c>
      <c r="J13" s="6">
        <v>24</v>
      </c>
      <c r="K13" s="6">
        <v>24</v>
      </c>
      <c r="L13" s="6">
        <v>8</v>
      </c>
      <c r="M13" s="6">
        <v>112.43</v>
      </c>
      <c r="N13" s="6">
        <v>48.1</v>
      </c>
      <c r="O13" s="6">
        <v>376.19</v>
      </c>
      <c r="P13" s="6">
        <v>350.1</v>
      </c>
      <c r="Q13" s="6">
        <v>8</v>
      </c>
      <c r="R13" s="6">
        <v>169.64</v>
      </c>
      <c r="S13" s="6">
        <v>80.099999999999994</v>
      </c>
      <c r="T13" s="6">
        <v>623.32000000000005</v>
      </c>
      <c r="U13" s="6">
        <v>313.5</v>
      </c>
      <c r="V13" s="6">
        <f t="shared" si="0"/>
        <v>263.76</v>
      </c>
      <c r="W13" s="6">
        <f t="shared" si="1"/>
        <v>453.68000000000006</v>
      </c>
      <c r="X13" s="6">
        <f t="shared" si="2"/>
        <v>323.53647089624997</v>
      </c>
      <c r="Y13" s="6">
        <f t="shared" si="3"/>
        <v>273.06526692349576</v>
      </c>
      <c r="Z13" s="6">
        <f t="shared" si="4"/>
        <v>318.28899761066202</v>
      </c>
      <c r="AA13" s="6">
        <f t="shared" si="5"/>
        <v>263.70887357083757</v>
      </c>
      <c r="AB13" s="6">
        <f t="shared" si="6"/>
        <v>312.95354926889706</v>
      </c>
      <c r="AC13" s="6">
        <f t="shared" si="7"/>
        <v>254.00807073791967</v>
      </c>
      <c r="AD13" s="6">
        <f t="shared" si="8"/>
        <v>307.52554690626926</v>
      </c>
      <c r="AE13" s="6">
        <f t="shared" si="9"/>
        <v>243.92177024611803</v>
      </c>
      <c r="AG13" s="6">
        <v>12</v>
      </c>
      <c r="AH13" s="6">
        <v>1</v>
      </c>
      <c r="AI13" s="6">
        <v>4</v>
      </c>
    </row>
    <row r="14" spans="1:35" ht="15" x14ac:dyDescent="0.2">
      <c r="A14" s="33" t="s">
        <v>42</v>
      </c>
      <c r="B14" s="5" t="s">
        <v>36</v>
      </c>
      <c r="C14" s="5" t="s">
        <v>37</v>
      </c>
      <c r="D14" s="5">
        <v>23</v>
      </c>
      <c r="E14" s="6" t="s">
        <v>43</v>
      </c>
      <c r="F14" s="6">
        <v>220</v>
      </c>
      <c r="G14" s="6" t="s">
        <v>39</v>
      </c>
      <c r="H14" s="6">
        <v>15</v>
      </c>
      <c r="I14" s="6" t="s">
        <v>40</v>
      </c>
      <c r="J14" s="6">
        <v>48</v>
      </c>
      <c r="K14" s="6">
        <v>48</v>
      </c>
      <c r="L14" s="6">
        <v>8</v>
      </c>
      <c r="M14" s="6">
        <v>112.43</v>
      </c>
      <c r="N14" s="6">
        <v>48.1</v>
      </c>
      <c r="O14" s="6">
        <v>234.9</v>
      </c>
      <c r="P14" s="6">
        <v>224.25</v>
      </c>
      <c r="Q14" s="6">
        <v>8</v>
      </c>
      <c r="R14" s="6">
        <v>169.64</v>
      </c>
      <c r="S14" s="6">
        <v>80.099999999999994</v>
      </c>
      <c r="T14" s="6">
        <v>388.22</v>
      </c>
      <c r="U14" s="6">
        <v>247.14</v>
      </c>
      <c r="V14" s="6">
        <f t="shared" si="0"/>
        <v>122.47</v>
      </c>
      <c r="W14" s="6">
        <f t="shared" si="1"/>
        <v>218.58000000000004</v>
      </c>
      <c r="X14" s="6">
        <f t="shared" si="2"/>
        <v>199.14307042927706</v>
      </c>
      <c r="Y14" s="6">
        <f t="shared" si="3"/>
        <v>209.13893181328052</v>
      </c>
      <c r="Z14" s="6">
        <f t="shared" si="4"/>
        <v>193.65091659994795</v>
      </c>
      <c r="AA14" s="6">
        <f t="shared" si="5"/>
        <v>199.44901604169422</v>
      </c>
      <c r="AB14" s="6">
        <f t="shared" si="6"/>
        <v>187.99838430156788</v>
      </c>
      <c r="AC14" s="6">
        <f t="shared" si="7"/>
        <v>189.2636446864532</v>
      </c>
      <c r="AD14" s="6">
        <f t="shared" si="8"/>
        <v>182.17054509442519</v>
      </c>
      <c r="AE14" s="6">
        <f t="shared" si="9"/>
        <v>178.49802351846924</v>
      </c>
      <c r="AG14" s="6">
        <v>13</v>
      </c>
      <c r="AH14" s="6">
        <v>2</v>
      </c>
      <c r="AI14" s="6">
        <v>4</v>
      </c>
    </row>
    <row r="15" spans="1:35" ht="15" x14ac:dyDescent="0.2">
      <c r="A15" s="33" t="s">
        <v>42</v>
      </c>
      <c r="B15" s="5" t="s">
        <v>36</v>
      </c>
      <c r="C15" s="5" t="s">
        <v>37</v>
      </c>
      <c r="D15" s="5">
        <v>23</v>
      </c>
      <c r="E15" s="6" t="s">
        <v>43</v>
      </c>
      <c r="F15" s="6">
        <v>220</v>
      </c>
      <c r="G15" s="6" t="s">
        <v>39</v>
      </c>
      <c r="H15" s="6">
        <v>15</v>
      </c>
      <c r="I15" s="6" t="s">
        <v>40</v>
      </c>
      <c r="J15" s="6">
        <v>72</v>
      </c>
      <c r="K15" s="6">
        <v>72</v>
      </c>
      <c r="L15" s="6">
        <v>8</v>
      </c>
      <c r="M15" s="6">
        <v>112.43</v>
      </c>
      <c r="N15" s="6">
        <v>48.1</v>
      </c>
      <c r="O15" s="6">
        <v>169.13</v>
      </c>
      <c r="P15" s="6">
        <v>100.69</v>
      </c>
      <c r="Q15" s="6">
        <v>8</v>
      </c>
      <c r="R15" s="6">
        <v>169.64</v>
      </c>
      <c r="S15" s="6">
        <v>80.099999999999994</v>
      </c>
      <c r="T15" s="6">
        <v>331.6</v>
      </c>
      <c r="U15" s="6">
        <v>244.85</v>
      </c>
      <c r="V15" s="6">
        <f t="shared" si="0"/>
        <v>56.699999999999989</v>
      </c>
      <c r="W15" s="6">
        <f t="shared" si="1"/>
        <v>161.96000000000004</v>
      </c>
      <c r="X15" s="6">
        <f t="shared" si="2"/>
        <v>81.487786201368863</v>
      </c>
      <c r="Y15" s="6">
        <f t="shared" si="3"/>
        <v>206.96026309415052</v>
      </c>
      <c r="Z15" s="6">
        <f t="shared" si="4"/>
        <v>75.310168636114469</v>
      </c>
      <c r="AA15" s="6">
        <f t="shared" si="5"/>
        <v>197.25631422086343</v>
      </c>
      <c r="AB15" s="6">
        <f t="shared" si="6"/>
        <v>68.578303420250919</v>
      </c>
      <c r="AC15" s="6">
        <f t="shared" si="7"/>
        <v>187.04960972961157</v>
      </c>
      <c r="AD15" s="6">
        <f t="shared" si="8"/>
        <v>61.109294710379373</v>
      </c>
      <c r="AE15" s="6">
        <f t="shared" si="9"/>
        <v>176.25282834610059</v>
      </c>
      <c r="AG15" s="6">
        <v>14</v>
      </c>
      <c r="AH15" s="6">
        <v>3</v>
      </c>
      <c r="AI15" s="6">
        <v>4</v>
      </c>
    </row>
    <row r="16" spans="1:35" ht="25.5" x14ac:dyDescent="0.2">
      <c r="A16" s="33" t="s">
        <v>66</v>
      </c>
      <c r="B16" s="5" t="s">
        <v>36</v>
      </c>
      <c r="C16" s="5" t="s">
        <v>67</v>
      </c>
      <c r="D16" s="5">
        <v>36.049999999999997</v>
      </c>
      <c r="E16" s="6" t="s">
        <v>68</v>
      </c>
      <c r="F16" s="6">
        <v>220</v>
      </c>
      <c r="G16" s="6" t="s">
        <v>39</v>
      </c>
      <c r="H16" s="6">
        <v>0</v>
      </c>
      <c r="I16" s="6" t="s">
        <v>69</v>
      </c>
      <c r="J16" s="6">
        <v>0</v>
      </c>
      <c r="K16" s="6" t="s">
        <v>63</v>
      </c>
      <c r="L16" s="6">
        <v>10</v>
      </c>
      <c r="M16" s="6">
        <v>107.7</v>
      </c>
      <c r="N16" s="6">
        <v>27.68</v>
      </c>
      <c r="O16" s="6">
        <v>423.53</v>
      </c>
      <c r="P16" s="6">
        <v>92.55</v>
      </c>
      <c r="Q16" s="6">
        <v>8</v>
      </c>
      <c r="R16" s="6">
        <v>115.42</v>
      </c>
      <c r="S16" s="6">
        <v>15.39</v>
      </c>
      <c r="T16" s="6">
        <v>514.42999999999995</v>
      </c>
      <c r="U16" s="6">
        <v>77.7</v>
      </c>
      <c r="V16" s="6">
        <f t="shared" si="0"/>
        <v>315.83</v>
      </c>
      <c r="W16" s="6">
        <f t="shared" si="1"/>
        <v>399.00999999999993</v>
      </c>
      <c r="X16" s="6">
        <f t="shared" si="2"/>
        <v>79.104640192595511</v>
      </c>
      <c r="Y16" s="6">
        <f t="shared" si="3"/>
        <v>69.564204157023184</v>
      </c>
      <c r="Z16" s="6">
        <f t="shared" si="4"/>
        <v>75.797013793420646</v>
      </c>
      <c r="AA16" s="6">
        <f t="shared" si="5"/>
        <v>67.823431791675077</v>
      </c>
      <c r="AB16" s="6">
        <f t="shared" si="6"/>
        <v>72.338305896668587</v>
      </c>
      <c r="AC16" s="6">
        <f t="shared" si="7"/>
        <v>66.036787474861313</v>
      </c>
      <c r="AD16" s="6">
        <f t="shared" si="8"/>
        <v>68.705703547813258</v>
      </c>
      <c r="AE16" s="6">
        <f t="shared" si="9"/>
        <v>64.200441587266369</v>
      </c>
      <c r="AG16" s="6">
        <v>15</v>
      </c>
      <c r="AH16" s="6">
        <v>1</v>
      </c>
      <c r="AI16" s="6">
        <v>5</v>
      </c>
    </row>
    <row r="17" spans="1:35" ht="25.5" x14ac:dyDescent="0.2">
      <c r="A17" s="33" t="s">
        <v>66</v>
      </c>
      <c r="B17" s="5" t="s">
        <v>36</v>
      </c>
      <c r="C17" s="5" t="s">
        <v>67</v>
      </c>
      <c r="D17" s="5">
        <v>36.049999999999997</v>
      </c>
      <c r="E17" s="6" t="s">
        <v>68</v>
      </c>
      <c r="F17" s="6">
        <v>220</v>
      </c>
      <c r="G17" s="6" t="s">
        <v>39</v>
      </c>
      <c r="H17" s="6">
        <v>0</v>
      </c>
      <c r="I17" s="6" t="s">
        <v>69</v>
      </c>
      <c r="J17" s="6">
        <v>24</v>
      </c>
      <c r="K17" s="6">
        <v>24</v>
      </c>
      <c r="L17" s="6">
        <v>10</v>
      </c>
      <c r="M17" s="6">
        <v>107.7</v>
      </c>
      <c r="N17" s="6">
        <v>27.68</v>
      </c>
      <c r="O17" s="6">
        <v>515.52</v>
      </c>
      <c r="P17" s="6">
        <v>109.09</v>
      </c>
      <c r="Q17" s="6">
        <v>8</v>
      </c>
      <c r="R17" s="6">
        <v>115.42</v>
      </c>
      <c r="S17" s="6">
        <v>15.39</v>
      </c>
      <c r="T17" s="6">
        <v>541.97</v>
      </c>
      <c r="U17" s="6">
        <v>70.25</v>
      </c>
      <c r="V17" s="6">
        <f t="shared" si="0"/>
        <v>407.82</v>
      </c>
      <c r="W17" s="6">
        <f t="shared" si="1"/>
        <v>426.55</v>
      </c>
      <c r="X17" s="6">
        <f t="shared" si="2"/>
        <v>95.096146399315259</v>
      </c>
      <c r="Y17" s="6">
        <f t="shared" si="3"/>
        <v>62.24578379296063</v>
      </c>
      <c r="Z17" s="6">
        <f t="shared" si="4"/>
        <v>91.865961160812986</v>
      </c>
      <c r="AA17" s="6">
        <f t="shared" si="5"/>
        <v>60.48394911048716</v>
      </c>
      <c r="AB17" s="6">
        <f t="shared" si="6"/>
        <v>88.517978851756425</v>
      </c>
      <c r="AC17" s="6">
        <f t="shared" si="7"/>
        <v>58.66923043640508</v>
      </c>
      <c r="AD17" s="6">
        <f t="shared" si="8"/>
        <v>85.038287494516254</v>
      </c>
      <c r="AE17" s="6">
        <f t="shared" si="9"/>
        <v>56.796558874636055</v>
      </c>
      <c r="AG17" s="6">
        <v>16</v>
      </c>
      <c r="AH17" s="6">
        <v>2</v>
      </c>
      <c r="AI17" s="6">
        <v>5</v>
      </c>
    </row>
    <row r="18" spans="1:35" ht="25.5" x14ac:dyDescent="0.2">
      <c r="A18" s="33" t="s">
        <v>66</v>
      </c>
      <c r="B18" s="5" t="s">
        <v>36</v>
      </c>
      <c r="C18" s="5" t="s">
        <v>67</v>
      </c>
      <c r="D18" s="5">
        <v>36.049999999999997</v>
      </c>
      <c r="E18" s="6" t="s">
        <v>68</v>
      </c>
      <c r="F18" s="6">
        <v>220</v>
      </c>
      <c r="G18" s="6" t="s">
        <v>39</v>
      </c>
      <c r="H18" s="6">
        <v>0</v>
      </c>
      <c r="I18" s="6" t="s">
        <v>69</v>
      </c>
      <c r="J18" s="6">
        <v>72</v>
      </c>
      <c r="K18" s="6">
        <v>72</v>
      </c>
      <c r="L18" s="6">
        <v>10</v>
      </c>
      <c r="M18" s="6">
        <v>107.7</v>
      </c>
      <c r="N18" s="6">
        <v>27.68</v>
      </c>
      <c r="O18" s="6">
        <v>72.3</v>
      </c>
      <c r="P18" s="6">
        <v>16.54</v>
      </c>
      <c r="Q18" s="6">
        <v>8</v>
      </c>
      <c r="R18" s="6">
        <v>115.42</v>
      </c>
      <c r="S18" s="6">
        <v>15.39</v>
      </c>
      <c r="T18" s="6">
        <v>90.17</v>
      </c>
      <c r="U18" s="6">
        <v>19.02</v>
      </c>
      <c r="V18" s="6">
        <f t="shared" si="0"/>
        <v>-35.400000000000006</v>
      </c>
      <c r="W18" s="6">
        <f t="shared" si="1"/>
        <v>-25.25</v>
      </c>
      <c r="X18" s="6">
        <f t="shared" si="2"/>
        <v>22.144104407268312</v>
      </c>
      <c r="Y18" s="6">
        <f t="shared" si="3"/>
        <v>15.727400929587825</v>
      </c>
      <c r="Z18" s="6">
        <f t="shared" si="4"/>
        <v>19.969875312580196</v>
      </c>
      <c r="AA18" s="6">
        <f t="shared" si="5"/>
        <v>13.740727054999672</v>
      </c>
      <c r="AB18" s="6">
        <f t="shared" si="6"/>
        <v>17.527991328158507</v>
      </c>
      <c r="AC18" s="6">
        <f t="shared" si="7"/>
        <v>11.413326421337466</v>
      </c>
      <c r="AD18" s="6">
        <f t="shared" si="8"/>
        <v>14.685538464761855</v>
      </c>
      <c r="AE18" s="6">
        <f t="shared" si="9"/>
        <v>8.4687933024723119</v>
      </c>
      <c r="AG18" s="6">
        <v>17</v>
      </c>
      <c r="AH18" s="6">
        <v>3</v>
      </c>
      <c r="AI18" s="6">
        <v>5</v>
      </c>
    </row>
    <row r="19" spans="1:35" ht="15" x14ac:dyDescent="0.2">
      <c r="A19" s="33" t="s">
        <v>70</v>
      </c>
      <c r="B19" s="6" t="s">
        <v>46</v>
      </c>
      <c r="C19" s="6" t="s">
        <v>67</v>
      </c>
      <c r="D19" s="6">
        <v>22</v>
      </c>
      <c r="E19" s="6" t="s">
        <v>43</v>
      </c>
      <c r="F19" s="6">
        <v>220</v>
      </c>
      <c r="G19" s="6" t="s">
        <v>71</v>
      </c>
      <c r="H19" s="6" t="s">
        <v>72</v>
      </c>
      <c r="I19" s="6" t="s">
        <v>73</v>
      </c>
      <c r="J19" s="6">
        <v>3</v>
      </c>
      <c r="K19" s="6" t="s">
        <v>63</v>
      </c>
      <c r="L19" s="6">
        <v>20</v>
      </c>
      <c r="M19" s="5">
        <v>88.2</v>
      </c>
      <c r="N19" s="5">
        <v>17.7</v>
      </c>
      <c r="O19" s="5">
        <v>431</v>
      </c>
      <c r="P19" s="5">
        <v>118</v>
      </c>
      <c r="Q19" s="6">
        <v>20</v>
      </c>
      <c r="R19" s="5">
        <v>61.5</v>
      </c>
      <c r="S19" s="5">
        <v>5.9</v>
      </c>
      <c r="T19" s="5">
        <v>323</v>
      </c>
      <c r="U19" s="5">
        <v>85</v>
      </c>
      <c r="V19" s="6">
        <f>O19-M19</f>
        <v>342.8</v>
      </c>
      <c r="W19" s="6">
        <f>T19-R19</f>
        <v>261.5</v>
      </c>
      <c r="X19" s="6">
        <f>SQRT(POWER(N19,2)+POWER(P19,2)-(0.6*2*N19*P19))</f>
        <v>108.30960252904634</v>
      </c>
      <c r="Y19" s="6">
        <f>SQRT(POWER(S19,2)+POWER(U19,2)-(0.6*2*S19*U19))</f>
        <v>81.596629832365011</v>
      </c>
      <c r="Z19" s="6">
        <f>SQRT(POWER(N19,2)+POWER(P19,2)-(0.7*2*N19*P19))</f>
        <v>106.36376262618769</v>
      </c>
      <c r="AA19" s="6">
        <f>SQRT(POWER(S19,2)+POWER(U19,2)-(0.7*2*S19*U19))</f>
        <v>80.979688811454437</v>
      </c>
      <c r="AB19" s="6">
        <f>SQRT(POWER(N19,2)+POWER(P19,2)-(0.8*2*N19*P19))</f>
        <v>104.38165547642939</v>
      </c>
      <c r="AC19" s="6">
        <f>SQRT(POWER(S19,2)+POWER(U19,2)-(0.8*2*S19*U19))</f>
        <v>80.358011423877329</v>
      </c>
      <c r="AD19" s="6">
        <f>SQRT(POWER(N19,2)+POWER(P19,2)-(0.9*2*N19*P19))</f>
        <v>102.3611742800951</v>
      </c>
      <c r="AE19" s="6">
        <f>SQRT(POWER(S19,2)+POWER(U19,2)-(0.9*2*S19*U19))</f>
        <v>79.731486879400421</v>
      </c>
      <c r="AG19" s="6">
        <v>18</v>
      </c>
      <c r="AH19" s="6">
        <v>1</v>
      </c>
      <c r="AI19" s="6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B199-15ED-434B-9C68-EF285F3C13E7}">
  <dimension ref="A1:AI41"/>
  <sheetViews>
    <sheetView topLeftCell="A7" workbookViewId="0">
      <selection activeCell="L44" sqref="L44"/>
    </sheetView>
  </sheetViews>
  <sheetFormatPr defaultRowHeight="14.25" x14ac:dyDescent="0.2"/>
  <cols>
    <col min="1" max="1" width="25" bestFit="1" customWidth="1"/>
  </cols>
  <sheetData>
    <row r="1" spans="1:3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s="7" customFormat="1" ht="15" x14ac:dyDescent="0.2">
      <c r="A2" s="4" t="s">
        <v>35</v>
      </c>
      <c r="B2" s="5" t="s">
        <v>36</v>
      </c>
      <c r="C2" s="6" t="s">
        <v>37</v>
      </c>
      <c r="D2" s="6">
        <v>26.5</v>
      </c>
      <c r="E2" s="6" t="s">
        <v>38</v>
      </c>
      <c r="F2" s="6">
        <v>141</v>
      </c>
      <c r="G2" s="6" t="s">
        <v>39</v>
      </c>
      <c r="H2" s="6">
        <v>15</v>
      </c>
      <c r="I2" s="6" t="s">
        <v>40</v>
      </c>
      <c r="J2" s="6">
        <v>24</v>
      </c>
      <c r="K2" s="6">
        <v>24</v>
      </c>
      <c r="L2" s="6">
        <v>15</v>
      </c>
      <c r="M2" s="6">
        <v>0</v>
      </c>
      <c r="N2" s="6">
        <v>0</v>
      </c>
      <c r="O2" s="6">
        <v>11.4</v>
      </c>
      <c r="P2" s="6">
        <v>14.6</v>
      </c>
      <c r="Q2" s="6">
        <v>15</v>
      </c>
      <c r="R2" s="6">
        <v>0</v>
      </c>
      <c r="S2" s="6">
        <v>0</v>
      </c>
      <c r="T2" s="6">
        <v>14.4</v>
      </c>
      <c r="U2" s="6">
        <v>-16.399999999999999</v>
      </c>
      <c r="V2" s="6">
        <f>O2-M2</f>
        <v>11.4</v>
      </c>
      <c r="W2" s="6">
        <f>T2-R2</f>
        <v>14.4</v>
      </c>
      <c r="X2" s="6">
        <f>SQRT(POWER(N2,2)+POWER(P2,2)-(0.6*2*N2*P2))</f>
        <v>14.6</v>
      </c>
      <c r="Y2" s="6">
        <f>SQRT(POWER(S2,2)+POWER(U2,2)-(0.6*2*S2*U2))</f>
        <v>16.399999999999999</v>
      </c>
      <c r="Z2" s="6">
        <f>SQRT(POWER(N2,2)+POWER(P2,2)-(0.7*2*N2*P2))</f>
        <v>14.6</v>
      </c>
      <c r="AA2" s="6">
        <f>SQRT(POWER(S2,2)+POWER(U2,2)-(0.7*2*S2*U2))</f>
        <v>16.399999999999999</v>
      </c>
      <c r="AB2" s="6">
        <f>SQRT(POWER(N2,2)+POWER(P2,2)-(0.8*2*N2*P2))</f>
        <v>14.6</v>
      </c>
      <c r="AC2" s="6">
        <f>SQRT(POWER(S2,2)+POWER(U2,2)-(0.8*2*S2*U2))</f>
        <v>16.399999999999999</v>
      </c>
      <c r="AD2" s="6">
        <f>SQRT(POWER(N2,2)+POWER(P2,2)-(0.9*2*N2*P2))</f>
        <v>14.6</v>
      </c>
      <c r="AE2" s="6">
        <f>SQRT(POWER(S2,2)+POWER(U2,2)-(0.9*2*S2*U2))</f>
        <v>16.399999999999999</v>
      </c>
      <c r="AF2" s="6"/>
      <c r="AG2" s="6">
        <v>1</v>
      </c>
      <c r="AH2" s="6">
        <v>1</v>
      </c>
      <c r="AI2" s="6">
        <v>1</v>
      </c>
    </row>
    <row r="3" spans="1:35" s="7" customFormat="1" ht="15" x14ac:dyDescent="0.2">
      <c r="A3" s="4" t="s">
        <v>41</v>
      </c>
      <c r="B3" s="5" t="s">
        <v>36</v>
      </c>
      <c r="C3" s="6" t="s">
        <v>37</v>
      </c>
      <c r="D3" s="6">
        <v>26.5</v>
      </c>
      <c r="E3" s="6" t="s">
        <v>38</v>
      </c>
      <c r="F3" s="6">
        <v>141</v>
      </c>
      <c r="G3" s="6" t="s">
        <v>39</v>
      </c>
      <c r="H3" s="6">
        <v>15</v>
      </c>
      <c r="I3" s="6" t="s">
        <v>40</v>
      </c>
      <c r="J3" s="6">
        <v>48</v>
      </c>
      <c r="K3" s="6">
        <v>48</v>
      </c>
      <c r="L3" s="6">
        <v>15</v>
      </c>
      <c r="M3" s="6">
        <v>0</v>
      </c>
      <c r="N3" s="6">
        <v>0</v>
      </c>
      <c r="O3" s="6">
        <v>9.4</v>
      </c>
      <c r="P3" s="6">
        <v>15.2</v>
      </c>
      <c r="Q3" s="6">
        <v>15</v>
      </c>
      <c r="R3" s="6">
        <v>0</v>
      </c>
      <c r="S3" s="6">
        <v>0</v>
      </c>
      <c r="T3" s="6">
        <v>25.2</v>
      </c>
      <c r="U3" s="6">
        <v>-15.3</v>
      </c>
      <c r="V3" s="6">
        <f>O3-M3</f>
        <v>9.4</v>
      </c>
      <c r="W3" s="6">
        <f>T3-R3</f>
        <v>25.2</v>
      </c>
      <c r="X3" s="6">
        <f>SQRT(POWER(N3,2)+POWER(P3,2)-(0.6*2*N3*P3))</f>
        <v>15.2</v>
      </c>
      <c r="Y3" s="6">
        <f>SQRT(POWER(S3,2)+POWER(U3,2)-(0.6*2*S3*U3))</f>
        <v>15.3</v>
      </c>
      <c r="Z3" s="6">
        <f>SQRT(POWER(N3,2)+POWER(P3,2)-(0.7*2*N3*P3))</f>
        <v>15.2</v>
      </c>
      <c r="AA3" s="6">
        <f>SQRT(POWER(S3,2)+POWER(U3,2)-(0.7*2*S3*U3))</f>
        <v>15.3</v>
      </c>
      <c r="AB3" s="6">
        <f>SQRT(POWER(N3,2)+POWER(P3,2)-(0.8*2*N3*P3))</f>
        <v>15.2</v>
      </c>
      <c r="AC3" s="6">
        <f>SQRT(POWER(S3,2)+POWER(U3,2)-(0.8*2*S3*U3))</f>
        <v>15.3</v>
      </c>
      <c r="AD3" s="6">
        <f>SQRT(POWER(N3,2)+POWER(P3,2)-(0.9*2*N3*P3))</f>
        <v>15.2</v>
      </c>
      <c r="AE3" s="6">
        <f>SQRT(POWER(S3,2)+POWER(U3,2)-(0.9*2*S3*U3))</f>
        <v>15.3</v>
      </c>
      <c r="AG3" s="6">
        <v>2</v>
      </c>
      <c r="AH3" s="6">
        <v>2</v>
      </c>
      <c r="AI3" s="6">
        <v>1</v>
      </c>
    </row>
    <row r="4" spans="1:35" s="7" customFormat="1" ht="15" x14ac:dyDescent="0.2">
      <c r="A4" s="4" t="s">
        <v>41</v>
      </c>
      <c r="B4" s="5" t="s">
        <v>36</v>
      </c>
      <c r="C4" s="6" t="s">
        <v>37</v>
      </c>
      <c r="D4" s="6">
        <v>26.5</v>
      </c>
      <c r="E4" s="6" t="s">
        <v>38</v>
      </c>
      <c r="F4" s="6">
        <v>141</v>
      </c>
      <c r="G4" s="6" t="s">
        <v>39</v>
      </c>
      <c r="H4" s="6">
        <v>15</v>
      </c>
      <c r="I4" s="6" t="s">
        <v>40</v>
      </c>
      <c r="J4" s="6">
        <v>72</v>
      </c>
      <c r="K4" s="6">
        <v>72</v>
      </c>
      <c r="L4" s="6">
        <v>15</v>
      </c>
      <c r="M4" s="6">
        <v>0</v>
      </c>
      <c r="N4" s="6">
        <v>0</v>
      </c>
      <c r="O4" s="6">
        <v>8</v>
      </c>
      <c r="P4" s="6">
        <v>16.5</v>
      </c>
      <c r="Q4" s="6">
        <v>15</v>
      </c>
      <c r="R4" s="6">
        <v>0</v>
      </c>
      <c r="S4" s="6">
        <v>0</v>
      </c>
      <c r="T4" s="6">
        <v>17.600000000000001</v>
      </c>
      <c r="U4" s="6">
        <v>-21.7</v>
      </c>
      <c r="V4" s="6">
        <f>O4-M4</f>
        <v>8</v>
      </c>
      <c r="W4" s="6">
        <f>T4-R4</f>
        <v>17.600000000000001</v>
      </c>
      <c r="X4" s="6">
        <f>SQRT(POWER(N4,2)+POWER(P4,2)-(0.6*2*N4*P4))</f>
        <v>16.5</v>
      </c>
      <c r="Y4" s="6">
        <f>SQRT(POWER(S4,2)+POWER(U4,2)-(0.6*2*S4*U4))</f>
        <v>21.7</v>
      </c>
      <c r="Z4" s="6">
        <f>SQRT(POWER(N4,2)+POWER(P4,2)-(0.7*2*N4*P4))</f>
        <v>16.5</v>
      </c>
      <c r="AA4" s="6">
        <f>SQRT(POWER(S4,2)+POWER(U4,2)-(0.7*2*S4*U4))</f>
        <v>21.7</v>
      </c>
      <c r="AB4" s="6">
        <f>SQRT(POWER(N4,2)+POWER(P4,2)-(0.8*2*N4*P4))</f>
        <v>16.5</v>
      </c>
      <c r="AC4" s="6">
        <f>SQRT(POWER(S4,2)+POWER(U4,2)-(0.8*2*S4*U4))</f>
        <v>21.7</v>
      </c>
      <c r="AD4" s="6">
        <f>SQRT(POWER(N4,2)+POWER(P4,2)-(0.9*2*N4*P4))</f>
        <v>16.5</v>
      </c>
      <c r="AE4" s="6">
        <f>SQRT(POWER(S4,2)+POWER(U4,2)-(0.9*2*S4*U4))</f>
        <v>21.7</v>
      </c>
      <c r="AG4" s="6">
        <v>3</v>
      </c>
      <c r="AH4" s="6">
        <v>3</v>
      </c>
      <c r="AI4" s="6">
        <v>1</v>
      </c>
    </row>
    <row r="5" spans="1:35" s="11" customFormat="1" ht="15" x14ac:dyDescent="0.2">
      <c r="A5" s="8" t="s">
        <v>42</v>
      </c>
      <c r="B5" s="9" t="s">
        <v>36</v>
      </c>
      <c r="C5" s="9" t="s">
        <v>37</v>
      </c>
      <c r="D5" s="9">
        <v>23</v>
      </c>
      <c r="E5" s="10" t="s">
        <v>43</v>
      </c>
      <c r="F5" s="10">
        <v>220</v>
      </c>
      <c r="G5" s="10" t="s">
        <v>39</v>
      </c>
      <c r="H5" s="10">
        <v>15</v>
      </c>
      <c r="I5" s="10" t="s">
        <v>40</v>
      </c>
      <c r="J5" s="10">
        <v>0</v>
      </c>
      <c r="K5" s="10" t="s">
        <v>44</v>
      </c>
      <c r="L5" s="10">
        <v>23</v>
      </c>
      <c r="M5" s="10">
        <v>12.255000000000001</v>
      </c>
      <c r="N5" s="10">
        <v>1.83</v>
      </c>
      <c r="O5" s="10">
        <v>22.864999999999998</v>
      </c>
      <c r="P5" s="10">
        <v>12.62</v>
      </c>
      <c r="Q5" s="10">
        <v>23</v>
      </c>
      <c r="R5" s="10">
        <v>8.0500000000000007</v>
      </c>
      <c r="S5" s="10">
        <v>5.12</v>
      </c>
      <c r="T5" s="10">
        <v>34.575000000000003</v>
      </c>
      <c r="U5" s="10">
        <v>15.180999999999999</v>
      </c>
      <c r="V5" s="10">
        <f t="shared" ref="V5:V41" si="0">O5-M5</f>
        <v>10.609999999999998</v>
      </c>
      <c r="W5" s="10">
        <f t="shared" ref="W5:W41" si="1">T5-R5</f>
        <v>26.525000000000002</v>
      </c>
      <c r="X5" s="10">
        <f t="shared" ref="X5:X41" si="2">SQRT(POWER(N5,2)+POWER(P5,2)-(0.6*2*N5*P5))</f>
        <v>11.614636455782849</v>
      </c>
      <c r="Y5" s="10">
        <f t="shared" ref="Y5:Y41" si="3">SQRT(POWER(S5,2)+POWER(U5,2)-(0.6*2*S5*U5))</f>
        <v>12.783000312915586</v>
      </c>
      <c r="Z5" s="10">
        <f t="shared" ref="Z5:Z41" si="4">SQRT(POWER(N5,2)+POWER(P5,2)-(0.7*2*N5*P5))</f>
        <v>11.414064131587837</v>
      </c>
      <c r="AA5" s="10">
        <f t="shared" ref="AA5:AA41" si="5">SQRT(POWER(S5,2)+POWER(U5,2)-(0.7*2*S5*U5))</f>
        <v>12.15975957821535</v>
      </c>
      <c r="AB5" s="10">
        <f t="shared" ref="AB5:AB41" si="6">SQRT(POWER(N5,2)+POWER(P5,2)-(0.8*2*N5*P5))</f>
        <v>11.209903657034703</v>
      </c>
      <c r="AC5" s="10">
        <f t="shared" ref="AC5:AC41" si="7">SQRT(POWER(S5,2)+POWER(U5,2)-(0.8*2*S5*U5))</f>
        <v>11.502800050422504</v>
      </c>
      <c r="AD5" s="10">
        <f t="shared" ref="AD5:AD41" si="8">SQRT(POWER(N5,2)+POWER(P5,2)-(0.9*2*N5*P5))</f>
        <v>11.001955280767142</v>
      </c>
      <c r="AE5" s="10">
        <f t="shared" ref="AE5:AE41" si="9">SQRT(POWER(S5,2)+POWER(U5,2)-(0.9*2*S5*U5))</f>
        <v>10.805973579460574</v>
      </c>
      <c r="AG5" s="10">
        <v>4</v>
      </c>
      <c r="AH5" s="10">
        <v>1</v>
      </c>
      <c r="AI5" s="10">
        <v>2</v>
      </c>
    </row>
    <row r="6" spans="1:35" s="11" customFormat="1" ht="15" x14ac:dyDescent="0.2">
      <c r="A6" s="8" t="s">
        <v>42</v>
      </c>
      <c r="B6" s="9" t="s">
        <v>36</v>
      </c>
      <c r="C6" s="9" t="s">
        <v>37</v>
      </c>
      <c r="D6" s="9">
        <v>23</v>
      </c>
      <c r="E6" s="10" t="s">
        <v>43</v>
      </c>
      <c r="F6" s="10">
        <v>220</v>
      </c>
      <c r="G6" s="10" t="s">
        <v>39</v>
      </c>
      <c r="H6" s="10">
        <v>15</v>
      </c>
      <c r="I6" s="10" t="s">
        <v>40</v>
      </c>
      <c r="J6" s="10">
        <v>24</v>
      </c>
      <c r="K6" s="10">
        <v>24</v>
      </c>
      <c r="L6" s="10">
        <v>23</v>
      </c>
      <c r="M6" s="10">
        <v>12.255000000000001</v>
      </c>
      <c r="N6" s="10">
        <v>1.83</v>
      </c>
      <c r="O6" s="10">
        <v>35.49</v>
      </c>
      <c r="P6" s="10">
        <v>-11.345000000000001</v>
      </c>
      <c r="Q6" s="10">
        <v>23</v>
      </c>
      <c r="R6" s="10">
        <v>8.0500000000000007</v>
      </c>
      <c r="S6" s="10">
        <v>5.12</v>
      </c>
      <c r="T6" s="10">
        <v>52.865000000000002</v>
      </c>
      <c r="U6" s="10">
        <v>15.185</v>
      </c>
      <c r="V6" s="10">
        <f t="shared" si="0"/>
        <v>23.234999999999999</v>
      </c>
      <c r="W6" s="10">
        <f t="shared" si="1"/>
        <v>44.814999999999998</v>
      </c>
      <c r="X6" s="10">
        <f t="shared" si="2"/>
        <v>12.528828556573037</v>
      </c>
      <c r="Y6" s="10">
        <f t="shared" si="3"/>
        <v>12.786789471951119</v>
      </c>
      <c r="Z6" s="10">
        <f t="shared" si="4"/>
        <v>12.693455597275314</v>
      </c>
      <c r="AA6" s="10">
        <f t="shared" si="5"/>
        <v>12.163574515741663</v>
      </c>
      <c r="AB6" s="10">
        <f t="shared" si="6"/>
        <v>12.855974681057832</v>
      </c>
      <c r="AC6" s="10">
        <f t="shared" si="7"/>
        <v>11.506654813628504</v>
      </c>
      <c r="AD6" s="10">
        <f t="shared" si="8"/>
        <v>13.016464765826395</v>
      </c>
      <c r="AE6" s="10">
        <f t="shared" si="9"/>
        <v>10.809887372216235</v>
      </c>
      <c r="AG6" s="10">
        <v>5</v>
      </c>
      <c r="AH6" s="10">
        <v>2</v>
      </c>
      <c r="AI6" s="10">
        <v>2</v>
      </c>
    </row>
    <row r="7" spans="1:35" s="11" customFormat="1" ht="15" x14ac:dyDescent="0.2">
      <c r="A7" s="8" t="s">
        <v>42</v>
      </c>
      <c r="B7" s="9" t="s">
        <v>36</v>
      </c>
      <c r="C7" s="9" t="s">
        <v>37</v>
      </c>
      <c r="D7" s="9">
        <v>23</v>
      </c>
      <c r="E7" s="10" t="s">
        <v>43</v>
      </c>
      <c r="F7" s="10">
        <v>220</v>
      </c>
      <c r="G7" s="10" t="s">
        <v>39</v>
      </c>
      <c r="H7" s="10">
        <v>15</v>
      </c>
      <c r="I7" s="10" t="s">
        <v>40</v>
      </c>
      <c r="J7" s="10">
        <v>48</v>
      </c>
      <c r="K7" s="10">
        <v>48</v>
      </c>
      <c r="L7" s="10">
        <v>23</v>
      </c>
      <c r="M7" s="10">
        <v>12.255000000000001</v>
      </c>
      <c r="N7" s="10">
        <v>1.83</v>
      </c>
      <c r="O7" s="10">
        <v>30</v>
      </c>
      <c r="P7" s="10">
        <v>-16.829999999999998</v>
      </c>
      <c r="Q7" s="10">
        <v>23</v>
      </c>
      <c r="R7" s="10">
        <v>8.0500000000000007</v>
      </c>
      <c r="S7" s="10">
        <v>5.12</v>
      </c>
      <c r="T7" s="10">
        <v>49.024999999999999</v>
      </c>
      <c r="U7" s="10">
        <v>21.215</v>
      </c>
      <c r="V7" s="10">
        <f t="shared" si="0"/>
        <v>17.744999999999997</v>
      </c>
      <c r="W7" s="10">
        <f t="shared" si="1"/>
        <v>40.974999999999994</v>
      </c>
      <c r="X7" s="10">
        <f t="shared" si="2"/>
        <v>17.987675780934012</v>
      </c>
      <c r="Y7" s="10">
        <f t="shared" si="3"/>
        <v>18.599614646545774</v>
      </c>
      <c r="Z7" s="10">
        <f t="shared" si="4"/>
        <v>18.158090758667331</v>
      </c>
      <c r="AA7" s="10">
        <f t="shared" si="5"/>
        <v>18.006151865404227</v>
      </c>
      <c r="AB7" s="10">
        <f t="shared" si="6"/>
        <v>18.326921181693336</v>
      </c>
      <c r="AC7" s="10">
        <f t="shared" si="7"/>
        <v>17.392450804875086</v>
      </c>
      <c r="AD7" s="10">
        <f t="shared" si="8"/>
        <v>18.494210445433996</v>
      </c>
      <c r="AE7" s="10">
        <f t="shared" si="9"/>
        <v>16.756287924239068</v>
      </c>
      <c r="AG7" s="10">
        <v>6</v>
      </c>
      <c r="AH7" s="10">
        <v>3</v>
      </c>
      <c r="AI7" s="10">
        <v>2</v>
      </c>
    </row>
    <row r="8" spans="1:35" s="11" customFormat="1" ht="15" x14ac:dyDescent="0.2">
      <c r="A8" s="8" t="s">
        <v>42</v>
      </c>
      <c r="B8" s="9" t="s">
        <v>36</v>
      </c>
      <c r="C8" s="9" t="s">
        <v>37</v>
      </c>
      <c r="D8" s="9">
        <v>23</v>
      </c>
      <c r="E8" s="10" t="s">
        <v>43</v>
      </c>
      <c r="F8" s="10">
        <v>220</v>
      </c>
      <c r="G8" s="10" t="s">
        <v>39</v>
      </c>
      <c r="H8" s="10">
        <v>15</v>
      </c>
      <c r="I8" s="10" t="s">
        <v>40</v>
      </c>
      <c r="J8" s="10">
        <v>72</v>
      </c>
      <c r="K8" s="10">
        <v>72</v>
      </c>
      <c r="L8" s="10">
        <v>23</v>
      </c>
      <c r="M8" s="10">
        <v>12.255000000000001</v>
      </c>
      <c r="N8" s="10">
        <v>1.83</v>
      </c>
      <c r="O8" s="10">
        <v>15.914999999999999</v>
      </c>
      <c r="P8" s="10">
        <v>11.159000000000001</v>
      </c>
      <c r="Q8" s="10">
        <v>23</v>
      </c>
      <c r="R8" s="10">
        <v>8.0500000000000007</v>
      </c>
      <c r="S8" s="10">
        <v>5.12</v>
      </c>
      <c r="T8" s="10">
        <v>31.83</v>
      </c>
      <c r="U8" s="10">
        <v>19.389500000000002</v>
      </c>
      <c r="V8" s="10">
        <f t="shared" si="0"/>
        <v>3.6599999999999984</v>
      </c>
      <c r="W8" s="10">
        <f t="shared" si="1"/>
        <v>23.779999999999998</v>
      </c>
      <c r="X8" s="10">
        <f t="shared" si="2"/>
        <v>10.166957116069685</v>
      </c>
      <c r="Y8" s="10">
        <f t="shared" si="3"/>
        <v>16.823733897384376</v>
      </c>
      <c r="Z8" s="10">
        <f t="shared" si="4"/>
        <v>9.9640766255584374</v>
      </c>
      <c r="AA8" s="10">
        <f t="shared" si="5"/>
        <v>16.222921261289535</v>
      </c>
      <c r="AB8" s="10">
        <f t="shared" si="6"/>
        <v>9.7569784769671397</v>
      </c>
      <c r="AC8" s="10">
        <f t="shared" si="7"/>
        <v>15.598984782670957</v>
      </c>
      <c r="AD8" s="10">
        <f t="shared" si="8"/>
        <v>9.5453881534487639</v>
      </c>
      <c r="AE8" s="10">
        <f t="shared" si="9"/>
        <v>14.949029341398726</v>
      </c>
      <c r="AG8" s="10">
        <v>7</v>
      </c>
      <c r="AH8" s="10">
        <v>4</v>
      </c>
      <c r="AI8" s="10">
        <v>2</v>
      </c>
    </row>
    <row r="9" spans="1:35" s="15" customFormat="1" ht="15" x14ac:dyDescent="0.2">
      <c r="A9" s="12" t="s">
        <v>45</v>
      </c>
      <c r="B9" s="13" t="s">
        <v>46</v>
      </c>
      <c r="C9" s="14" t="s">
        <v>37</v>
      </c>
      <c r="D9" s="14">
        <v>25</v>
      </c>
      <c r="E9" s="14" t="s">
        <v>43</v>
      </c>
      <c r="F9" s="14">
        <v>200</v>
      </c>
      <c r="G9" s="14" t="s">
        <v>47</v>
      </c>
      <c r="H9" s="14">
        <v>5</v>
      </c>
      <c r="I9" s="14" t="s">
        <v>40</v>
      </c>
      <c r="J9" s="14">
        <v>24</v>
      </c>
      <c r="K9" s="14">
        <v>24</v>
      </c>
      <c r="L9" s="14">
        <v>10</v>
      </c>
      <c r="M9" s="14">
        <v>0</v>
      </c>
      <c r="N9" s="14">
        <v>0</v>
      </c>
      <c r="O9" s="14">
        <v>5.75</v>
      </c>
      <c r="P9" s="14">
        <v>3.32</v>
      </c>
      <c r="Q9" s="14">
        <v>10</v>
      </c>
      <c r="R9" s="14">
        <v>0</v>
      </c>
      <c r="S9" s="14">
        <v>0</v>
      </c>
      <c r="T9" s="14">
        <v>28.21</v>
      </c>
      <c r="U9" s="14">
        <v>-16.98</v>
      </c>
      <c r="V9" s="14">
        <f t="shared" si="0"/>
        <v>5.75</v>
      </c>
      <c r="W9" s="14">
        <f t="shared" si="1"/>
        <v>28.21</v>
      </c>
      <c r="X9" s="14">
        <f t="shared" si="2"/>
        <v>3.32</v>
      </c>
      <c r="Y9" s="14">
        <f t="shared" si="3"/>
        <v>16.98</v>
      </c>
      <c r="Z9" s="14">
        <f t="shared" si="4"/>
        <v>3.32</v>
      </c>
      <c r="AA9" s="14">
        <f t="shared" si="5"/>
        <v>16.98</v>
      </c>
      <c r="AB9" s="14">
        <f t="shared" si="6"/>
        <v>3.32</v>
      </c>
      <c r="AC9" s="14">
        <f t="shared" si="7"/>
        <v>16.98</v>
      </c>
      <c r="AD9" s="14">
        <f t="shared" si="8"/>
        <v>3.32</v>
      </c>
      <c r="AE9" s="14">
        <f t="shared" si="9"/>
        <v>16.98</v>
      </c>
      <c r="AG9" s="14">
        <v>8</v>
      </c>
      <c r="AH9" s="14">
        <v>1</v>
      </c>
      <c r="AI9" s="14">
        <v>3</v>
      </c>
    </row>
    <row r="10" spans="1:35" s="15" customFormat="1" ht="15" x14ac:dyDescent="0.2">
      <c r="A10" s="12" t="s">
        <v>45</v>
      </c>
      <c r="B10" s="13" t="s">
        <v>46</v>
      </c>
      <c r="C10" s="14" t="s">
        <v>37</v>
      </c>
      <c r="D10" s="14">
        <v>25</v>
      </c>
      <c r="E10" s="14" t="s">
        <v>43</v>
      </c>
      <c r="F10" s="14">
        <v>200</v>
      </c>
      <c r="G10" s="14" t="s">
        <v>47</v>
      </c>
      <c r="H10" s="14">
        <v>5</v>
      </c>
      <c r="I10" s="14" t="s">
        <v>40</v>
      </c>
      <c r="J10" s="14">
        <v>48</v>
      </c>
      <c r="K10" s="14">
        <v>48</v>
      </c>
      <c r="L10" s="14">
        <v>10</v>
      </c>
      <c r="M10" s="14">
        <v>0</v>
      </c>
      <c r="N10" s="14">
        <v>0</v>
      </c>
      <c r="O10" s="14">
        <v>7.66</v>
      </c>
      <c r="P10" s="14">
        <v>4.21</v>
      </c>
      <c r="Q10" s="14">
        <v>10</v>
      </c>
      <c r="R10" s="14">
        <v>0</v>
      </c>
      <c r="S10" s="14">
        <v>0</v>
      </c>
      <c r="T10" s="14">
        <v>38.549999999999997</v>
      </c>
      <c r="U10" s="14">
        <v>-14.55</v>
      </c>
      <c r="V10" s="14">
        <f t="shared" si="0"/>
        <v>7.66</v>
      </c>
      <c r="W10" s="14">
        <f t="shared" si="1"/>
        <v>38.549999999999997</v>
      </c>
      <c r="X10" s="14">
        <f t="shared" si="2"/>
        <v>4.21</v>
      </c>
      <c r="Y10" s="14">
        <f t="shared" si="3"/>
        <v>14.55</v>
      </c>
      <c r="Z10" s="14">
        <f t="shared" si="4"/>
        <v>4.21</v>
      </c>
      <c r="AA10" s="14">
        <f t="shared" si="5"/>
        <v>14.55</v>
      </c>
      <c r="AB10" s="14">
        <f t="shared" si="6"/>
        <v>4.21</v>
      </c>
      <c r="AC10" s="14">
        <f t="shared" si="7"/>
        <v>14.55</v>
      </c>
      <c r="AD10" s="14">
        <f t="shared" si="8"/>
        <v>4.21</v>
      </c>
      <c r="AE10" s="14">
        <f t="shared" si="9"/>
        <v>14.55</v>
      </c>
      <c r="AG10" s="14">
        <v>9</v>
      </c>
      <c r="AH10" s="14">
        <v>2</v>
      </c>
      <c r="AI10" s="14">
        <v>3</v>
      </c>
    </row>
    <row r="11" spans="1:35" s="15" customFormat="1" ht="15" x14ac:dyDescent="0.2">
      <c r="A11" s="12" t="s">
        <v>45</v>
      </c>
      <c r="B11" s="13" t="s">
        <v>46</v>
      </c>
      <c r="C11" s="14" t="s">
        <v>37</v>
      </c>
      <c r="D11" s="14">
        <v>25</v>
      </c>
      <c r="E11" s="14" t="s">
        <v>43</v>
      </c>
      <c r="F11" s="14">
        <v>200</v>
      </c>
      <c r="G11" s="14" t="s">
        <v>47</v>
      </c>
      <c r="H11" s="14">
        <v>5</v>
      </c>
      <c r="I11" s="14" t="s">
        <v>40</v>
      </c>
      <c r="J11" s="14">
        <v>72</v>
      </c>
      <c r="K11" s="14">
        <v>72</v>
      </c>
      <c r="L11" s="14">
        <v>10</v>
      </c>
      <c r="M11" s="14">
        <v>0</v>
      </c>
      <c r="N11" s="14">
        <v>0</v>
      </c>
      <c r="O11" s="14">
        <v>4.09</v>
      </c>
      <c r="P11" s="14">
        <v>3.38</v>
      </c>
      <c r="Q11" s="14">
        <v>10</v>
      </c>
      <c r="R11" s="14">
        <v>0</v>
      </c>
      <c r="S11" s="14">
        <v>0</v>
      </c>
      <c r="T11" s="14">
        <v>32.81</v>
      </c>
      <c r="U11" s="14">
        <v>-15.64</v>
      </c>
      <c r="V11" s="14">
        <f t="shared" si="0"/>
        <v>4.09</v>
      </c>
      <c r="W11" s="14">
        <f t="shared" si="1"/>
        <v>32.81</v>
      </c>
      <c r="X11" s="14">
        <f t="shared" si="2"/>
        <v>3.38</v>
      </c>
      <c r="Y11" s="14">
        <f t="shared" si="3"/>
        <v>15.64</v>
      </c>
      <c r="Z11" s="14">
        <f t="shared" si="4"/>
        <v>3.38</v>
      </c>
      <c r="AA11" s="14">
        <f t="shared" si="5"/>
        <v>15.64</v>
      </c>
      <c r="AB11" s="14">
        <f t="shared" si="6"/>
        <v>3.38</v>
      </c>
      <c r="AC11" s="14">
        <f t="shared" si="7"/>
        <v>15.64</v>
      </c>
      <c r="AD11" s="14">
        <f t="shared" si="8"/>
        <v>3.38</v>
      </c>
      <c r="AE11" s="14">
        <f t="shared" si="9"/>
        <v>15.64</v>
      </c>
      <c r="AG11" s="14">
        <v>10</v>
      </c>
      <c r="AH11" s="14">
        <v>3</v>
      </c>
      <c r="AI11" s="14">
        <v>3</v>
      </c>
    </row>
    <row r="12" spans="1:35" s="19" customFormat="1" ht="15" x14ac:dyDescent="0.2">
      <c r="A12" s="16" t="s">
        <v>48</v>
      </c>
      <c r="B12" s="17" t="s">
        <v>46</v>
      </c>
      <c r="C12" s="17" t="s">
        <v>37</v>
      </c>
      <c r="D12" s="17">
        <v>20.399999999999999</v>
      </c>
      <c r="E12" s="18" t="s">
        <v>43</v>
      </c>
      <c r="F12" s="18">
        <v>220</v>
      </c>
      <c r="G12" s="18" t="s">
        <v>39</v>
      </c>
      <c r="H12" s="18">
        <v>0</v>
      </c>
      <c r="I12" s="18" t="s">
        <v>40</v>
      </c>
      <c r="J12" s="18">
        <v>24</v>
      </c>
      <c r="K12" s="18">
        <v>24</v>
      </c>
      <c r="L12" s="18">
        <v>9</v>
      </c>
      <c r="M12" s="18">
        <v>0</v>
      </c>
      <c r="N12" s="18">
        <v>0</v>
      </c>
      <c r="O12" s="18">
        <v>2</v>
      </c>
      <c r="P12" s="18">
        <v>2</v>
      </c>
      <c r="Q12" s="18">
        <v>9</v>
      </c>
      <c r="R12" s="18">
        <v>0</v>
      </c>
      <c r="S12" s="18">
        <v>0</v>
      </c>
      <c r="T12" s="18">
        <v>2</v>
      </c>
      <c r="U12" s="18">
        <v>-2</v>
      </c>
      <c r="V12" s="18">
        <f t="shared" si="0"/>
        <v>2</v>
      </c>
      <c r="W12" s="18">
        <f t="shared" si="1"/>
        <v>2</v>
      </c>
      <c r="X12" s="18">
        <f t="shared" si="2"/>
        <v>2</v>
      </c>
      <c r="Y12" s="18">
        <f t="shared" si="3"/>
        <v>2</v>
      </c>
      <c r="Z12" s="18">
        <f t="shared" si="4"/>
        <v>2</v>
      </c>
      <c r="AA12" s="18">
        <f t="shared" si="5"/>
        <v>2</v>
      </c>
      <c r="AB12" s="18">
        <f t="shared" si="6"/>
        <v>2</v>
      </c>
      <c r="AC12" s="18">
        <f t="shared" si="7"/>
        <v>2</v>
      </c>
      <c r="AD12" s="18">
        <f t="shared" si="8"/>
        <v>2</v>
      </c>
      <c r="AE12" s="18">
        <f t="shared" si="9"/>
        <v>2</v>
      </c>
      <c r="AG12" s="18">
        <v>11</v>
      </c>
      <c r="AH12" s="18">
        <v>1</v>
      </c>
      <c r="AI12" s="18">
        <v>4</v>
      </c>
    </row>
    <row r="13" spans="1:35" s="19" customFormat="1" ht="15" x14ac:dyDescent="0.2">
      <c r="A13" s="16" t="s">
        <v>49</v>
      </c>
      <c r="B13" s="17" t="s">
        <v>46</v>
      </c>
      <c r="C13" s="17" t="s">
        <v>37</v>
      </c>
      <c r="D13" s="17">
        <v>20.399999999999999</v>
      </c>
      <c r="E13" s="18" t="s">
        <v>43</v>
      </c>
      <c r="F13" s="18">
        <v>220</v>
      </c>
      <c r="G13" s="18" t="s">
        <v>39</v>
      </c>
      <c r="H13" s="18">
        <v>0</v>
      </c>
      <c r="I13" s="18" t="s">
        <v>40</v>
      </c>
      <c r="J13" s="18">
        <v>48</v>
      </c>
      <c r="K13" s="18">
        <v>48</v>
      </c>
      <c r="L13" s="18">
        <v>9</v>
      </c>
      <c r="M13" s="18">
        <v>0</v>
      </c>
      <c r="N13" s="18">
        <v>0</v>
      </c>
      <c r="O13" s="18">
        <v>1</v>
      </c>
      <c r="P13" s="18">
        <v>1</v>
      </c>
      <c r="Q13" s="18">
        <v>9</v>
      </c>
      <c r="R13" s="18">
        <v>0</v>
      </c>
      <c r="S13" s="18">
        <v>0</v>
      </c>
      <c r="T13" s="18">
        <v>1</v>
      </c>
      <c r="U13" s="18">
        <v>-1</v>
      </c>
      <c r="V13" s="18">
        <f t="shared" si="0"/>
        <v>1</v>
      </c>
      <c r="W13" s="18">
        <f t="shared" si="1"/>
        <v>1</v>
      </c>
      <c r="X13" s="18">
        <f t="shared" si="2"/>
        <v>1</v>
      </c>
      <c r="Y13" s="18">
        <f t="shared" si="3"/>
        <v>1</v>
      </c>
      <c r="Z13" s="18">
        <f t="shared" si="4"/>
        <v>1</v>
      </c>
      <c r="AA13" s="18">
        <f t="shared" si="5"/>
        <v>1</v>
      </c>
      <c r="AB13" s="18">
        <f t="shared" si="6"/>
        <v>1</v>
      </c>
      <c r="AC13" s="18">
        <f t="shared" si="7"/>
        <v>1</v>
      </c>
      <c r="AD13" s="18">
        <f t="shared" si="8"/>
        <v>1</v>
      </c>
      <c r="AE13" s="18">
        <f t="shared" si="9"/>
        <v>1</v>
      </c>
      <c r="AG13" s="18">
        <v>12</v>
      </c>
      <c r="AH13" s="18">
        <v>2</v>
      </c>
      <c r="AI13" s="18">
        <v>4</v>
      </c>
    </row>
    <row r="14" spans="1:35" s="23" customFormat="1" ht="15" x14ac:dyDescent="0.2">
      <c r="A14" s="20" t="s">
        <v>50</v>
      </c>
      <c r="B14" s="21" t="s">
        <v>51</v>
      </c>
      <c r="C14" s="21" t="s">
        <v>37</v>
      </c>
      <c r="D14" s="21">
        <v>25</v>
      </c>
      <c r="E14" s="22" t="s">
        <v>43</v>
      </c>
      <c r="F14" s="22">
        <v>220</v>
      </c>
      <c r="G14" s="22" t="s">
        <v>39</v>
      </c>
      <c r="H14" s="22">
        <v>25</v>
      </c>
      <c r="I14" s="22" t="s">
        <v>52</v>
      </c>
      <c r="J14" s="22">
        <v>0</v>
      </c>
      <c r="K14" s="22" t="s">
        <v>53</v>
      </c>
      <c r="L14" s="22">
        <v>14</v>
      </c>
      <c r="M14" s="22">
        <v>3.27</v>
      </c>
      <c r="N14" s="22">
        <v>0.51</v>
      </c>
      <c r="O14" s="22">
        <v>4.95</v>
      </c>
      <c r="P14" s="22">
        <v>0.51</v>
      </c>
      <c r="Q14" s="22">
        <v>14</v>
      </c>
      <c r="R14" s="22">
        <v>3.11</v>
      </c>
      <c r="S14" s="22">
        <v>1</v>
      </c>
      <c r="T14" s="22">
        <v>6.44</v>
      </c>
      <c r="U14" s="22">
        <v>0.99</v>
      </c>
      <c r="V14" s="22">
        <f t="shared" si="0"/>
        <v>1.6800000000000002</v>
      </c>
      <c r="W14" s="22">
        <f t="shared" si="1"/>
        <v>3.3300000000000005</v>
      </c>
      <c r="X14" s="22">
        <f t="shared" si="2"/>
        <v>0.45615786740995706</v>
      </c>
      <c r="Y14" s="22">
        <f t="shared" si="3"/>
        <v>0.89</v>
      </c>
      <c r="Z14" s="22">
        <f t="shared" si="4"/>
        <v>0.39504430131315654</v>
      </c>
      <c r="AA14" s="22">
        <f t="shared" si="5"/>
        <v>0.7707788269017255</v>
      </c>
      <c r="AB14" s="22">
        <f t="shared" si="6"/>
        <v>0.32255232133717465</v>
      </c>
      <c r="AC14" s="22">
        <f t="shared" si="7"/>
        <v>0.62936475910238243</v>
      </c>
      <c r="AD14" s="22">
        <f t="shared" si="8"/>
        <v>0.22807893370497845</v>
      </c>
      <c r="AE14" s="22">
        <f t="shared" si="9"/>
        <v>0.44508426168535764</v>
      </c>
      <c r="AG14" s="22">
        <v>13</v>
      </c>
      <c r="AH14" s="22">
        <v>1</v>
      </c>
      <c r="AI14" s="22">
        <v>5</v>
      </c>
    </row>
    <row r="15" spans="1:35" s="27" customFormat="1" ht="12.75" x14ac:dyDescent="0.2">
      <c r="A15" s="24" t="s">
        <v>54</v>
      </c>
      <c r="B15" s="25" t="s">
        <v>36</v>
      </c>
      <c r="C15" s="25" t="s">
        <v>37</v>
      </c>
      <c r="D15" s="25">
        <v>27.5</v>
      </c>
      <c r="E15" s="25" t="s">
        <v>43</v>
      </c>
      <c r="F15" s="25">
        <v>225</v>
      </c>
      <c r="G15" s="25" t="s">
        <v>55</v>
      </c>
      <c r="H15" s="25">
        <v>0</v>
      </c>
      <c r="I15" s="25" t="s">
        <v>40</v>
      </c>
      <c r="J15" s="25">
        <v>0.33</v>
      </c>
      <c r="K15" s="26" t="s">
        <v>53</v>
      </c>
      <c r="L15" s="25">
        <v>10</v>
      </c>
      <c r="M15" s="25">
        <v>0</v>
      </c>
      <c r="N15" s="25">
        <v>0</v>
      </c>
      <c r="O15" s="25">
        <v>-3.75</v>
      </c>
      <c r="P15" s="25">
        <v>-0.59</v>
      </c>
      <c r="Q15" s="25">
        <v>10</v>
      </c>
      <c r="R15" s="25">
        <v>0</v>
      </c>
      <c r="S15" s="25">
        <v>0</v>
      </c>
      <c r="T15" s="25">
        <v>-3.01</v>
      </c>
      <c r="U15" s="25">
        <v>-0.37</v>
      </c>
      <c r="V15" s="25">
        <f t="shared" si="0"/>
        <v>-3.75</v>
      </c>
      <c r="W15" s="25">
        <f t="shared" si="1"/>
        <v>-3.01</v>
      </c>
      <c r="X15" s="25">
        <f t="shared" si="2"/>
        <v>0.59</v>
      </c>
      <c r="Y15" s="25">
        <f t="shared" si="3"/>
        <v>0.37</v>
      </c>
      <c r="Z15" s="25">
        <f t="shared" si="4"/>
        <v>0.59</v>
      </c>
      <c r="AA15" s="25">
        <f t="shared" si="5"/>
        <v>0.37</v>
      </c>
      <c r="AB15" s="25">
        <f t="shared" si="6"/>
        <v>0.59</v>
      </c>
      <c r="AC15" s="25">
        <f t="shared" si="7"/>
        <v>0.37</v>
      </c>
      <c r="AD15" s="25">
        <f t="shared" si="8"/>
        <v>0.59</v>
      </c>
      <c r="AE15" s="25">
        <f t="shared" si="9"/>
        <v>0.37</v>
      </c>
      <c r="AF15" s="25"/>
      <c r="AG15" s="26">
        <v>14</v>
      </c>
      <c r="AH15" s="25">
        <v>1</v>
      </c>
      <c r="AI15" s="25">
        <v>6</v>
      </c>
    </row>
    <row r="16" spans="1:35" s="27" customFormat="1" ht="12.75" x14ac:dyDescent="0.2">
      <c r="A16" s="24" t="s">
        <v>56</v>
      </c>
      <c r="B16" s="25" t="s">
        <v>36</v>
      </c>
      <c r="C16" s="25" t="s">
        <v>37</v>
      </c>
      <c r="D16" s="25">
        <v>27.5</v>
      </c>
      <c r="E16" s="25" t="s">
        <v>43</v>
      </c>
      <c r="F16" s="25">
        <v>225</v>
      </c>
      <c r="G16" s="25" t="s">
        <v>55</v>
      </c>
      <c r="H16" s="25">
        <v>0</v>
      </c>
      <c r="I16" s="25" t="s">
        <v>40</v>
      </c>
      <c r="J16" s="25">
        <v>0.66</v>
      </c>
      <c r="K16" s="26" t="s">
        <v>53</v>
      </c>
      <c r="L16" s="25">
        <v>10</v>
      </c>
      <c r="M16" s="25">
        <v>0</v>
      </c>
      <c r="N16" s="25">
        <v>0</v>
      </c>
      <c r="O16" s="25">
        <v>-7.45</v>
      </c>
      <c r="P16" s="25">
        <v>-1.05</v>
      </c>
      <c r="Q16" s="25">
        <v>10</v>
      </c>
      <c r="R16" s="25">
        <v>0</v>
      </c>
      <c r="S16" s="25">
        <v>0</v>
      </c>
      <c r="T16" s="25">
        <v>-6.07</v>
      </c>
      <c r="U16" s="25">
        <v>-1.35</v>
      </c>
      <c r="V16" s="25">
        <f t="shared" si="0"/>
        <v>-7.45</v>
      </c>
      <c r="W16" s="25">
        <f t="shared" si="1"/>
        <v>-6.07</v>
      </c>
      <c r="X16" s="25">
        <f t="shared" si="2"/>
        <v>1.05</v>
      </c>
      <c r="Y16" s="25">
        <f t="shared" si="3"/>
        <v>1.35</v>
      </c>
      <c r="Z16" s="25">
        <f t="shared" si="4"/>
        <v>1.05</v>
      </c>
      <c r="AA16" s="25">
        <f t="shared" si="5"/>
        <v>1.35</v>
      </c>
      <c r="AB16" s="25">
        <f t="shared" si="6"/>
        <v>1.05</v>
      </c>
      <c r="AC16" s="25">
        <f t="shared" si="7"/>
        <v>1.35</v>
      </c>
      <c r="AD16" s="25">
        <f t="shared" si="8"/>
        <v>1.05</v>
      </c>
      <c r="AE16" s="25">
        <f t="shared" si="9"/>
        <v>1.35</v>
      </c>
      <c r="AF16" s="25"/>
      <c r="AG16" s="26">
        <v>15</v>
      </c>
      <c r="AH16" s="25">
        <v>2</v>
      </c>
      <c r="AI16" s="25">
        <v>6</v>
      </c>
    </row>
    <row r="17" spans="1:35" s="27" customFormat="1" ht="12.75" x14ac:dyDescent="0.2">
      <c r="A17" s="24" t="s">
        <v>56</v>
      </c>
      <c r="B17" s="25" t="s">
        <v>36</v>
      </c>
      <c r="C17" s="25" t="s">
        <v>37</v>
      </c>
      <c r="D17" s="25">
        <v>27.5</v>
      </c>
      <c r="E17" s="25" t="s">
        <v>43</v>
      </c>
      <c r="F17" s="25">
        <v>225</v>
      </c>
      <c r="G17" s="25" t="s">
        <v>55</v>
      </c>
      <c r="H17" s="25">
        <v>0</v>
      </c>
      <c r="I17" s="25" t="s">
        <v>40</v>
      </c>
      <c r="J17" s="25">
        <v>1</v>
      </c>
      <c r="K17" s="26" t="s">
        <v>53</v>
      </c>
      <c r="L17" s="25">
        <v>10</v>
      </c>
      <c r="M17" s="25">
        <v>0</v>
      </c>
      <c r="N17" s="25">
        <v>0</v>
      </c>
      <c r="O17" s="25">
        <v>-9.57</v>
      </c>
      <c r="P17" s="25">
        <v>-1.52</v>
      </c>
      <c r="Q17" s="25">
        <v>10</v>
      </c>
      <c r="R17" s="25">
        <v>0</v>
      </c>
      <c r="S17" s="25">
        <v>0</v>
      </c>
      <c r="T17" s="25">
        <v>-10.58</v>
      </c>
      <c r="U17" s="25">
        <v>-1.36</v>
      </c>
      <c r="V17" s="25">
        <f t="shared" si="0"/>
        <v>-9.57</v>
      </c>
      <c r="W17" s="25">
        <f t="shared" si="1"/>
        <v>-10.58</v>
      </c>
      <c r="X17" s="25">
        <f t="shared" si="2"/>
        <v>1.52</v>
      </c>
      <c r="Y17" s="25">
        <f t="shared" si="3"/>
        <v>1.36</v>
      </c>
      <c r="Z17" s="25">
        <f t="shared" si="4"/>
        <v>1.52</v>
      </c>
      <c r="AA17" s="25">
        <f t="shared" si="5"/>
        <v>1.36</v>
      </c>
      <c r="AB17" s="25">
        <f t="shared" si="6"/>
        <v>1.52</v>
      </c>
      <c r="AC17" s="25">
        <f t="shared" si="7"/>
        <v>1.36</v>
      </c>
      <c r="AD17" s="25">
        <f t="shared" si="8"/>
        <v>1.52</v>
      </c>
      <c r="AE17" s="25">
        <f t="shared" si="9"/>
        <v>1.36</v>
      </c>
      <c r="AF17" s="25"/>
      <c r="AG17" s="26">
        <v>16</v>
      </c>
      <c r="AH17" s="25">
        <v>3</v>
      </c>
      <c r="AI17" s="25">
        <v>6</v>
      </c>
    </row>
    <row r="18" spans="1:35" s="27" customFormat="1" ht="12.75" x14ac:dyDescent="0.2">
      <c r="A18" s="24" t="s">
        <v>56</v>
      </c>
      <c r="B18" s="25" t="s">
        <v>36</v>
      </c>
      <c r="C18" s="25" t="s">
        <v>37</v>
      </c>
      <c r="D18" s="25">
        <v>27.5</v>
      </c>
      <c r="E18" s="25" t="s">
        <v>43</v>
      </c>
      <c r="F18" s="25">
        <v>225</v>
      </c>
      <c r="G18" s="25" t="s">
        <v>55</v>
      </c>
      <c r="H18" s="25">
        <v>0</v>
      </c>
      <c r="I18" s="25" t="s">
        <v>40</v>
      </c>
      <c r="J18" s="25">
        <v>1.33</v>
      </c>
      <c r="K18" s="26" t="s">
        <v>53</v>
      </c>
      <c r="L18" s="25">
        <v>10</v>
      </c>
      <c r="M18" s="25">
        <v>0</v>
      </c>
      <c r="N18" s="25">
        <v>0</v>
      </c>
      <c r="O18" s="25">
        <v>-11.64</v>
      </c>
      <c r="P18" s="25">
        <v>-1.53</v>
      </c>
      <c r="Q18" s="25">
        <v>10</v>
      </c>
      <c r="R18" s="25">
        <v>0</v>
      </c>
      <c r="S18" s="25">
        <v>0</v>
      </c>
      <c r="T18" s="25">
        <v>-13.46</v>
      </c>
      <c r="U18" s="25">
        <v>-1.87</v>
      </c>
      <c r="V18" s="25">
        <f t="shared" si="0"/>
        <v>-11.64</v>
      </c>
      <c r="W18" s="25">
        <f t="shared" si="1"/>
        <v>-13.46</v>
      </c>
      <c r="X18" s="25">
        <f t="shared" si="2"/>
        <v>1.53</v>
      </c>
      <c r="Y18" s="25">
        <f t="shared" si="3"/>
        <v>1.87</v>
      </c>
      <c r="Z18" s="25">
        <f t="shared" si="4"/>
        <v>1.53</v>
      </c>
      <c r="AA18" s="25">
        <f t="shared" si="5"/>
        <v>1.87</v>
      </c>
      <c r="AB18" s="25">
        <f t="shared" si="6"/>
        <v>1.53</v>
      </c>
      <c r="AC18" s="25">
        <f t="shared" si="7"/>
        <v>1.87</v>
      </c>
      <c r="AD18" s="25">
        <f t="shared" si="8"/>
        <v>1.53</v>
      </c>
      <c r="AE18" s="25">
        <f t="shared" si="9"/>
        <v>1.87</v>
      </c>
      <c r="AF18" s="25"/>
      <c r="AG18" s="26">
        <v>17</v>
      </c>
      <c r="AH18" s="25">
        <v>4</v>
      </c>
      <c r="AI18" s="25">
        <v>6</v>
      </c>
    </row>
    <row r="19" spans="1:35" s="27" customFormat="1" ht="12.75" x14ac:dyDescent="0.2">
      <c r="A19" s="24" t="s">
        <v>56</v>
      </c>
      <c r="B19" s="25" t="s">
        <v>36</v>
      </c>
      <c r="C19" s="25" t="s">
        <v>37</v>
      </c>
      <c r="D19" s="25">
        <v>27.5</v>
      </c>
      <c r="E19" s="25" t="s">
        <v>43</v>
      </c>
      <c r="F19" s="25">
        <v>225</v>
      </c>
      <c r="G19" s="25" t="s">
        <v>55</v>
      </c>
      <c r="H19" s="25">
        <v>0</v>
      </c>
      <c r="I19" s="25" t="s">
        <v>40</v>
      </c>
      <c r="J19" s="25">
        <v>1.66</v>
      </c>
      <c r="K19" s="26" t="s">
        <v>53</v>
      </c>
      <c r="L19" s="25">
        <v>10</v>
      </c>
      <c r="M19" s="25">
        <v>0</v>
      </c>
      <c r="N19" s="25">
        <v>0</v>
      </c>
      <c r="O19" s="25">
        <v>-13.58</v>
      </c>
      <c r="P19" s="25">
        <v>-1.69</v>
      </c>
      <c r="Q19" s="25">
        <v>10</v>
      </c>
      <c r="R19" s="25">
        <v>0</v>
      </c>
      <c r="S19" s="25">
        <v>0</v>
      </c>
      <c r="T19" s="25">
        <v>-15.9</v>
      </c>
      <c r="U19" s="25">
        <v>-1.93</v>
      </c>
      <c r="V19" s="25">
        <f t="shared" si="0"/>
        <v>-13.58</v>
      </c>
      <c r="W19" s="25">
        <f t="shared" si="1"/>
        <v>-15.9</v>
      </c>
      <c r="X19" s="25">
        <f t="shared" si="2"/>
        <v>1.69</v>
      </c>
      <c r="Y19" s="25">
        <f t="shared" si="3"/>
        <v>1.93</v>
      </c>
      <c r="Z19" s="25">
        <f t="shared" si="4"/>
        <v>1.69</v>
      </c>
      <c r="AA19" s="25">
        <f t="shared" si="5"/>
        <v>1.93</v>
      </c>
      <c r="AB19" s="25">
        <f t="shared" si="6"/>
        <v>1.69</v>
      </c>
      <c r="AC19" s="25">
        <f t="shared" si="7"/>
        <v>1.93</v>
      </c>
      <c r="AD19" s="25">
        <f t="shared" si="8"/>
        <v>1.69</v>
      </c>
      <c r="AE19" s="25">
        <f t="shared" si="9"/>
        <v>1.93</v>
      </c>
      <c r="AF19" s="25"/>
      <c r="AG19" s="26">
        <v>18</v>
      </c>
      <c r="AH19" s="25">
        <v>5</v>
      </c>
      <c r="AI19" s="25">
        <v>6</v>
      </c>
    </row>
    <row r="20" spans="1:35" s="27" customFormat="1" ht="12.75" x14ac:dyDescent="0.2">
      <c r="A20" s="24" t="s">
        <v>56</v>
      </c>
      <c r="B20" s="25" t="s">
        <v>36</v>
      </c>
      <c r="C20" s="25" t="s">
        <v>37</v>
      </c>
      <c r="D20" s="25">
        <v>27.5</v>
      </c>
      <c r="E20" s="25" t="s">
        <v>43</v>
      </c>
      <c r="F20" s="25">
        <v>225</v>
      </c>
      <c r="G20" s="25" t="s">
        <v>55</v>
      </c>
      <c r="H20" s="25">
        <v>0</v>
      </c>
      <c r="I20" s="25" t="s">
        <v>40</v>
      </c>
      <c r="J20" s="25">
        <v>2</v>
      </c>
      <c r="K20" s="26" t="s">
        <v>53</v>
      </c>
      <c r="L20" s="25">
        <v>10</v>
      </c>
      <c r="M20" s="25">
        <v>0</v>
      </c>
      <c r="N20" s="25">
        <v>0</v>
      </c>
      <c r="O20" s="25">
        <v>-15.02</v>
      </c>
      <c r="P20" s="25">
        <v>-1.82</v>
      </c>
      <c r="Q20" s="25">
        <v>10</v>
      </c>
      <c r="R20" s="25">
        <v>0</v>
      </c>
      <c r="S20" s="25">
        <v>0</v>
      </c>
      <c r="T20" s="25">
        <v>-16.899999999999999</v>
      </c>
      <c r="U20" s="25">
        <v>-1.76</v>
      </c>
      <c r="V20" s="25">
        <f t="shared" si="0"/>
        <v>-15.02</v>
      </c>
      <c r="W20" s="25">
        <f t="shared" si="1"/>
        <v>-16.899999999999999</v>
      </c>
      <c r="X20" s="25">
        <f t="shared" si="2"/>
        <v>1.82</v>
      </c>
      <c r="Y20" s="25">
        <f t="shared" si="3"/>
        <v>1.76</v>
      </c>
      <c r="Z20" s="25">
        <f t="shared" si="4"/>
        <v>1.82</v>
      </c>
      <c r="AA20" s="25">
        <f t="shared" si="5"/>
        <v>1.76</v>
      </c>
      <c r="AB20" s="25">
        <f t="shared" si="6"/>
        <v>1.82</v>
      </c>
      <c r="AC20" s="25">
        <f t="shared" si="7"/>
        <v>1.76</v>
      </c>
      <c r="AD20" s="25">
        <f t="shared" si="8"/>
        <v>1.82</v>
      </c>
      <c r="AE20" s="25">
        <f t="shared" si="9"/>
        <v>1.76</v>
      </c>
      <c r="AF20" s="25"/>
      <c r="AG20" s="26">
        <v>19</v>
      </c>
      <c r="AH20" s="25">
        <v>6</v>
      </c>
      <c r="AI20" s="25">
        <v>6</v>
      </c>
    </row>
    <row r="21" spans="1:35" s="27" customFormat="1" ht="12.75" x14ac:dyDescent="0.2">
      <c r="A21" s="24" t="s">
        <v>56</v>
      </c>
      <c r="B21" s="25" t="s">
        <v>46</v>
      </c>
      <c r="C21" s="25" t="s">
        <v>37</v>
      </c>
      <c r="D21" s="25">
        <v>27.5</v>
      </c>
      <c r="E21" s="25" t="s">
        <v>43</v>
      </c>
      <c r="F21" s="25">
        <v>225</v>
      </c>
      <c r="G21" s="25" t="s">
        <v>55</v>
      </c>
      <c r="H21" s="25">
        <v>0</v>
      </c>
      <c r="I21" s="25" t="s">
        <v>40</v>
      </c>
      <c r="J21" s="25">
        <v>0.33</v>
      </c>
      <c r="K21" s="26" t="s">
        <v>53</v>
      </c>
      <c r="L21" s="25">
        <v>10</v>
      </c>
      <c r="M21" s="25">
        <v>0</v>
      </c>
      <c r="N21" s="25">
        <v>0</v>
      </c>
      <c r="O21" s="25">
        <v>-3.75</v>
      </c>
      <c r="P21" s="25">
        <v>-0.59</v>
      </c>
      <c r="Q21" s="25">
        <v>10</v>
      </c>
      <c r="R21" s="25">
        <v>0</v>
      </c>
      <c r="S21" s="25">
        <v>0</v>
      </c>
      <c r="T21" s="25">
        <v>-4.1900000000000004</v>
      </c>
      <c r="U21" s="25">
        <v>-0.63</v>
      </c>
      <c r="V21" s="25">
        <f t="shared" si="0"/>
        <v>-3.75</v>
      </c>
      <c r="W21" s="25">
        <f t="shared" si="1"/>
        <v>-4.1900000000000004</v>
      </c>
      <c r="X21" s="25">
        <f t="shared" si="2"/>
        <v>0.59</v>
      </c>
      <c r="Y21" s="25">
        <f t="shared" si="3"/>
        <v>0.63</v>
      </c>
      <c r="Z21" s="25">
        <f t="shared" si="4"/>
        <v>0.59</v>
      </c>
      <c r="AA21" s="25">
        <f t="shared" si="5"/>
        <v>0.63</v>
      </c>
      <c r="AB21" s="25">
        <f t="shared" si="6"/>
        <v>0.59</v>
      </c>
      <c r="AC21" s="25">
        <f t="shared" si="7"/>
        <v>0.63</v>
      </c>
      <c r="AD21" s="25">
        <f t="shared" si="8"/>
        <v>0.59</v>
      </c>
      <c r="AE21" s="25">
        <f t="shared" si="9"/>
        <v>0.63</v>
      </c>
      <c r="AF21" s="25"/>
      <c r="AG21" s="26">
        <v>20</v>
      </c>
      <c r="AH21" s="25">
        <v>7</v>
      </c>
      <c r="AI21" s="25">
        <v>6</v>
      </c>
    </row>
    <row r="22" spans="1:35" s="27" customFormat="1" ht="12.75" x14ac:dyDescent="0.2">
      <c r="A22" s="24" t="s">
        <v>56</v>
      </c>
      <c r="B22" s="25" t="s">
        <v>46</v>
      </c>
      <c r="C22" s="25" t="s">
        <v>37</v>
      </c>
      <c r="D22" s="25">
        <v>27.5</v>
      </c>
      <c r="E22" s="25" t="s">
        <v>43</v>
      </c>
      <c r="F22" s="25">
        <v>225</v>
      </c>
      <c r="G22" s="25" t="s">
        <v>55</v>
      </c>
      <c r="H22" s="25">
        <v>0</v>
      </c>
      <c r="I22" s="25" t="s">
        <v>40</v>
      </c>
      <c r="J22" s="25">
        <v>0.66</v>
      </c>
      <c r="K22" s="26" t="s">
        <v>53</v>
      </c>
      <c r="L22" s="25">
        <v>10</v>
      </c>
      <c r="M22" s="25">
        <v>0</v>
      </c>
      <c r="N22" s="25">
        <v>0</v>
      </c>
      <c r="O22" s="25">
        <v>-7.45</v>
      </c>
      <c r="P22" s="25">
        <v>-1.05</v>
      </c>
      <c r="Q22" s="25">
        <v>10</v>
      </c>
      <c r="R22" s="25">
        <v>0</v>
      </c>
      <c r="S22" s="25">
        <v>0</v>
      </c>
      <c r="T22" s="25">
        <v>-8.07</v>
      </c>
      <c r="U22" s="25">
        <v>-1.29</v>
      </c>
      <c r="V22" s="25">
        <f t="shared" si="0"/>
        <v>-7.45</v>
      </c>
      <c r="W22" s="25">
        <f t="shared" si="1"/>
        <v>-8.07</v>
      </c>
      <c r="X22" s="25">
        <f t="shared" si="2"/>
        <v>1.05</v>
      </c>
      <c r="Y22" s="25">
        <f t="shared" si="3"/>
        <v>1.29</v>
      </c>
      <c r="Z22" s="25">
        <f t="shared" si="4"/>
        <v>1.05</v>
      </c>
      <c r="AA22" s="25">
        <f t="shared" si="5"/>
        <v>1.29</v>
      </c>
      <c r="AB22" s="25">
        <f t="shared" si="6"/>
        <v>1.05</v>
      </c>
      <c r="AC22" s="25">
        <f t="shared" si="7"/>
        <v>1.29</v>
      </c>
      <c r="AD22" s="25">
        <f t="shared" si="8"/>
        <v>1.05</v>
      </c>
      <c r="AE22" s="25">
        <f t="shared" si="9"/>
        <v>1.29</v>
      </c>
      <c r="AF22" s="25"/>
      <c r="AG22" s="26">
        <v>21</v>
      </c>
      <c r="AH22" s="25">
        <v>8</v>
      </c>
      <c r="AI22" s="25">
        <v>6</v>
      </c>
    </row>
    <row r="23" spans="1:35" s="27" customFormat="1" ht="12.75" x14ac:dyDescent="0.2">
      <c r="A23" s="24" t="s">
        <v>56</v>
      </c>
      <c r="B23" s="25" t="s">
        <v>46</v>
      </c>
      <c r="C23" s="25" t="s">
        <v>37</v>
      </c>
      <c r="D23" s="25">
        <v>27.5</v>
      </c>
      <c r="E23" s="25" t="s">
        <v>43</v>
      </c>
      <c r="F23" s="25">
        <v>225</v>
      </c>
      <c r="G23" s="25" t="s">
        <v>55</v>
      </c>
      <c r="H23" s="25">
        <v>0</v>
      </c>
      <c r="I23" s="25" t="s">
        <v>40</v>
      </c>
      <c r="J23" s="25">
        <v>1</v>
      </c>
      <c r="K23" s="26" t="s">
        <v>53</v>
      </c>
      <c r="L23" s="25">
        <v>10</v>
      </c>
      <c r="M23" s="25">
        <v>0</v>
      </c>
      <c r="N23" s="25">
        <v>0</v>
      </c>
      <c r="O23" s="25">
        <v>-9.57</v>
      </c>
      <c r="P23" s="25">
        <v>-1.52</v>
      </c>
      <c r="Q23" s="25">
        <v>10</v>
      </c>
      <c r="R23" s="25">
        <v>0</v>
      </c>
      <c r="S23" s="25">
        <v>0</v>
      </c>
      <c r="T23" s="25">
        <v>-11.83</v>
      </c>
      <c r="U23" s="25">
        <v>-1.48</v>
      </c>
      <c r="V23" s="25">
        <f t="shared" si="0"/>
        <v>-9.57</v>
      </c>
      <c r="W23" s="25">
        <f t="shared" si="1"/>
        <v>-11.83</v>
      </c>
      <c r="X23" s="25">
        <f t="shared" si="2"/>
        <v>1.52</v>
      </c>
      <c r="Y23" s="25">
        <f t="shared" si="3"/>
        <v>1.48</v>
      </c>
      <c r="Z23" s="25">
        <f t="shared" si="4"/>
        <v>1.52</v>
      </c>
      <c r="AA23" s="25">
        <f t="shared" si="5"/>
        <v>1.48</v>
      </c>
      <c r="AB23" s="25">
        <f t="shared" si="6"/>
        <v>1.52</v>
      </c>
      <c r="AC23" s="25">
        <f t="shared" si="7"/>
        <v>1.48</v>
      </c>
      <c r="AD23" s="25">
        <f t="shared" si="8"/>
        <v>1.52</v>
      </c>
      <c r="AE23" s="25">
        <f t="shared" si="9"/>
        <v>1.48</v>
      </c>
      <c r="AF23" s="25"/>
      <c r="AG23" s="26">
        <v>22</v>
      </c>
      <c r="AH23" s="25">
        <v>9</v>
      </c>
      <c r="AI23" s="25">
        <v>6</v>
      </c>
    </row>
    <row r="24" spans="1:35" s="27" customFormat="1" ht="12.75" x14ac:dyDescent="0.2">
      <c r="A24" s="24" t="s">
        <v>56</v>
      </c>
      <c r="B24" s="25" t="s">
        <v>46</v>
      </c>
      <c r="C24" s="25" t="s">
        <v>37</v>
      </c>
      <c r="D24" s="25">
        <v>27.5</v>
      </c>
      <c r="E24" s="25" t="s">
        <v>43</v>
      </c>
      <c r="F24" s="25">
        <v>225</v>
      </c>
      <c r="G24" s="25" t="s">
        <v>55</v>
      </c>
      <c r="H24" s="25">
        <v>0</v>
      </c>
      <c r="I24" s="25" t="s">
        <v>40</v>
      </c>
      <c r="J24" s="25">
        <v>1.33</v>
      </c>
      <c r="K24" s="26" t="s">
        <v>53</v>
      </c>
      <c r="L24" s="25">
        <v>10</v>
      </c>
      <c r="M24" s="25">
        <v>0</v>
      </c>
      <c r="N24" s="25">
        <v>0</v>
      </c>
      <c r="O24" s="25">
        <v>-11.64</v>
      </c>
      <c r="P24" s="25">
        <v>-1.53</v>
      </c>
      <c r="Q24" s="25">
        <v>10</v>
      </c>
      <c r="R24" s="25">
        <v>0</v>
      </c>
      <c r="S24" s="25">
        <v>0</v>
      </c>
      <c r="T24" s="25">
        <v>-14.4</v>
      </c>
      <c r="U24" s="25">
        <v>-1.68</v>
      </c>
      <c r="V24" s="25">
        <f t="shared" si="0"/>
        <v>-11.64</v>
      </c>
      <c r="W24" s="25">
        <f t="shared" si="1"/>
        <v>-14.4</v>
      </c>
      <c r="X24" s="25">
        <f t="shared" si="2"/>
        <v>1.53</v>
      </c>
      <c r="Y24" s="25">
        <f t="shared" si="3"/>
        <v>1.68</v>
      </c>
      <c r="Z24" s="25">
        <f t="shared" si="4"/>
        <v>1.53</v>
      </c>
      <c r="AA24" s="25">
        <f t="shared" si="5"/>
        <v>1.68</v>
      </c>
      <c r="AB24" s="25">
        <f t="shared" si="6"/>
        <v>1.53</v>
      </c>
      <c r="AC24" s="25">
        <f t="shared" si="7"/>
        <v>1.68</v>
      </c>
      <c r="AD24" s="25">
        <f t="shared" si="8"/>
        <v>1.53</v>
      </c>
      <c r="AE24" s="25">
        <f t="shared" si="9"/>
        <v>1.68</v>
      </c>
      <c r="AF24" s="25"/>
      <c r="AG24" s="26">
        <v>23</v>
      </c>
      <c r="AH24" s="25">
        <v>10</v>
      </c>
      <c r="AI24" s="25">
        <v>6</v>
      </c>
    </row>
    <row r="25" spans="1:35" s="27" customFormat="1" ht="12.75" x14ac:dyDescent="0.2">
      <c r="A25" s="24" t="s">
        <v>54</v>
      </c>
      <c r="B25" s="25" t="s">
        <v>46</v>
      </c>
      <c r="C25" s="25" t="s">
        <v>37</v>
      </c>
      <c r="D25" s="25">
        <v>27.5</v>
      </c>
      <c r="E25" s="25" t="s">
        <v>43</v>
      </c>
      <c r="F25" s="25">
        <v>225</v>
      </c>
      <c r="G25" s="25" t="s">
        <v>55</v>
      </c>
      <c r="H25" s="25">
        <v>0</v>
      </c>
      <c r="I25" s="25" t="s">
        <v>40</v>
      </c>
      <c r="J25" s="25">
        <v>1.66</v>
      </c>
      <c r="K25" s="26" t="s">
        <v>53</v>
      </c>
      <c r="L25" s="25">
        <v>10</v>
      </c>
      <c r="M25" s="25">
        <v>0</v>
      </c>
      <c r="N25" s="25">
        <v>0</v>
      </c>
      <c r="O25" s="25">
        <v>-13.58</v>
      </c>
      <c r="P25" s="25">
        <v>-1.69</v>
      </c>
      <c r="Q25" s="25">
        <v>10</v>
      </c>
      <c r="R25" s="25">
        <v>0</v>
      </c>
      <c r="S25" s="25">
        <v>0</v>
      </c>
      <c r="T25" s="25">
        <v>-15.53</v>
      </c>
      <c r="U25" s="25">
        <v>-1.87</v>
      </c>
      <c r="V25" s="25">
        <f t="shared" si="0"/>
        <v>-13.58</v>
      </c>
      <c r="W25" s="25">
        <f t="shared" si="1"/>
        <v>-15.53</v>
      </c>
      <c r="X25" s="25">
        <f t="shared" si="2"/>
        <v>1.69</v>
      </c>
      <c r="Y25" s="25">
        <f t="shared" si="3"/>
        <v>1.87</v>
      </c>
      <c r="Z25" s="25">
        <f t="shared" si="4"/>
        <v>1.69</v>
      </c>
      <c r="AA25" s="25">
        <f t="shared" si="5"/>
        <v>1.87</v>
      </c>
      <c r="AB25" s="25">
        <f t="shared" si="6"/>
        <v>1.69</v>
      </c>
      <c r="AC25" s="25">
        <f t="shared" si="7"/>
        <v>1.87</v>
      </c>
      <c r="AD25" s="25">
        <f t="shared" si="8"/>
        <v>1.69</v>
      </c>
      <c r="AE25" s="25">
        <f t="shared" si="9"/>
        <v>1.87</v>
      </c>
      <c r="AF25" s="25"/>
      <c r="AG25" s="26">
        <v>24</v>
      </c>
      <c r="AH25" s="25">
        <v>11</v>
      </c>
      <c r="AI25" s="25">
        <v>6</v>
      </c>
    </row>
    <row r="26" spans="1:35" s="27" customFormat="1" ht="12.75" x14ac:dyDescent="0.2">
      <c r="A26" s="24" t="s">
        <v>56</v>
      </c>
      <c r="B26" s="25" t="s">
        <v>46</v>
      </c>
      <c r="C26" s="25" t="s">
        <v>37</v>
      </c>
      <c r="D26" s="25">
        <v>27.5</v>
      </c>
      <c r="E26" s="25" t="s">
        <v>43</v>
      </c>
      <c r="F26" s="25">
        <v>225</v>
      </c>
      <c r="G26" s="25" t="s">
        <v>55</v>
      </c>
      <c r="H26" s="25">
        <v>0</v>
      </c>
      <c r="I26" s="25" t="s">
        <v>40</v>
      </c>
      <c r="J26" s="25">
        <v>2</v>
      </c>
      <c r="K26" s="26" t="s">
        <v>53</v>
      </c>
      <c r="L26" s="25">
        <v>10</v>
      </c>
      <c r="M26" s="25">
        <v>0</v>
      </c>
      <c r="N26" s="25">
        <v>0</v>
      </c>
      <c r="O26" s="25">
        <v>-15.02</v>
      </c>
      <c r="P26" s="25">
        <v>-1.82</v>
      </c>
      <c r="Q26" s="25">
        <v>10</v>
      </c>
      <c r="R26" s="25">
        <v>0</v>
      </c>
      <c r="S26" s="25">
        <v>0</v>
      </c>
      <c r="T26" s="25">
        <v>-17.239999999999998</v>
      </c>
      <c r="U26" s="25">
        <v>-1.83</v>
      </c>
      <c r="V26" s="25">
        <f t="shared" si="0"/>
        <v>-15.02</v>
      </c>
      <c r="W26" s="25">
        <f t="shared" si="1"/>
        <v>-17.239999999999998</v>
      </c>
      <c r="X26" s="25">
        <f t="shared" si="2"/>
        <v>1.82</v>
      </c>
      <c r="Y26" s="25">
        <f t="shared" si="3"/>
        <v>1.83</v>
      </c>
      <c r="Z26" s="25">
        <f t="shared" si="4"/>
        <v>1.82</v>
      </c>
      <c r="AA26" s="25">
        <f t="shared" si="5"/>
        <v>1.83</v>
      </c>
      <c r="AB26" s="25">
        <f t="shared" si="6"/>
        <v>1.82</v>
      </c>
      <c r="AC26" s="25">
        <f t="shared" si="7"/>
        <v>1.83</v>
      </c>
      <c r="AD26" s="25">
        <f t="shared" si="8"/>
        <v>1.82</v>
      </c>
      <c r="AE26" s="25">
        <f t="shared" si="9"/>
        <v>1.83</v>
      </c>
      <c r="AF26" s="25"/>
      <c r="AG26" s="26">
        <v>25</v>
      </c>
      <c r="AH26" s="25">
        <v>12</v>
      </c>
      <c r="AI26" s="25">
        <v>6</v>
      </c>
    </row>
    <row r="27" spans="1:35" s="27" customFormat="1" ht="12.75" x14ac:dyDescent="0.2">
      <c r="A27" s="24" t="s">
        <v>56</v>
      </c>
      <c r="B27" s="25" t="s">
        <v>36</v>
      </c>
      <c r="C27" s="25" t="s">
        <v>57</v>
      </c>
      <c r="D27" s="25">
        <v>27.5</v>
      </c>
      <c r="E27" s="25" t="s">
        <v>43</v>
      </c>
      <c r="F27" s="25">
        <v>225</v>
      </c>
      <c r="G27" s="25" t="s">
        <v>55</v>
      </c>
      <c r="H27" s="25">
        <v>0</v>
      </c>
      <c r="I27" s="25" t="s">
        <v>40</v>
      </c>
      <c r="J27" s="25">
        <v>0.33</v>
      </c>
      <c r="K27" s="26" t="s">
        <v>53</v>
      </c>
      <c r="L27" s="25">
        <v>10</v>
      </c>
      <c r="M27" s="25">
        <v>0</v>
      </c>
      <c r="N27" s="25">
        <v>0</v>
      </c>
      <c r="O27" s="25">
        <v>-5.03</v>
      </c>
      <c r="P27" s="25">
        <v>-0.64</v>
      </c>
      <c r="Q27" s="25">
        <v>10</v>
      </c>
      <c r="R27" s="25">
        <v>0</v>
      </c>
      <c r="S27" s="25">
        <v>0</v>
      </c>
      <c r="T27" s="25">
        <v>-5.97</v>
      </c>
      <c r="U27" s="25">
        <v>-0.59</v>
      </c>
      <c r="V27" s="25">
        <f t="shared" si="0"/>
        <v>-5.03</v>
      </c>
      <c r="W27" s="25">
        <f t="shared" si="1"/>
        <v>-5.97</v>
      </c>
      <c r="X27" s="25">
        <f t="shared" si="2"/>
        <v>0.64</v>
      </c>
      <c r="Y27" s="25">
        <f t="shared" si="3"/>
        <v>0.59</v>
      </c>
      <c r="Z27" s="25">
        <f t="shared" si="4"/>
        <v>0.64</v>
      </c>
      <c r="AA27" s="25">
        <f t="shared" si="5"/>
        <v>0.59</v>
      </c>
      <c r="AB27" s="25">
        <f t="shared" si="6"/>
        <v>0.64</v>
      </c>
      <c r="AC27" s="25">
        <f t="shared" si="7"/>
        <v>0.59</v>
      </c>
      <c r="AD27" s="25">
        <f t="shared" si="8"/>
        <v>0.64</v>
      </c>
      <c r="AE27" s="25">
        <f t="shared" si="9"/>
        <v>0.59</v>
      </c>
      <c r="AF27" s="25"/>
      <c r="AG27" s="26">
        <v>26</v>
      </c>
      <c r="AH27" s="25">
        <v>13</v>
      </c>
      <c r="AI27" s="25">
        <v>6</v>
      </c>
    </row>
    <row r="28" spans="1:35" s="27" customFormat="1" ht="12.75" x14ac:dyDescent="0.2">
      <c r="A28" s="24" t="s">
        <v>56</v>
      </c>
      <c r="B28" s="25" t="s">
        <v>36</v>
      </c>
      <c r="C28" s="25" t="s">
        <v>57</v>
      </c>
      <c r="D28" s="25">
        <v>27.5</v>
      </c>
      <c r="E28" s="25" t="s">
        <v>43</v>
      </c>
      <c r="F28" s="25">
        <v>225</v>
      </c>
      <c r="G28" s="25" t="s">
        <v>55</v>
      </c>
      <c r="H28" s="25">
        <v>0</v>
      </c>
      <c r="I28" s="25" t="s">
        <v>40</v>
      </c>
      <c r="J28" s="25">
        <v>0.66</v>
      </c>
      <c r="K28" s="26" t="s">
        <v>53</v>
      </c>
      <c r="L28" s="25">
        <v>10</v>
      </c>
      <c r="M28" s="25">
        <v>0</v>
      </c>
      <c r="N28" s="25">
        <v>0</v>
      </c>
      <c r="O28" s="25">
        <v>-8.61</v>
      </c>
      <c r="P28" s="25">
        <v>-1.02</v>
      </c>
      <c r="Q28" s="25">
        <v>10</v>
      </c>
      <c r="R28" s="25">
        <v>0</v>
      </c>
      <c r="S28" s="25">
        <v>0</v>
      </c>
      <c r="T28" s="25">
        <v>-9.36</v>
      </c>
      <c r="U28" s="25">
        <v>-0.97</v>
      </c>
      <c r="V28" s="25">
        <f t="shared" si="0"/>
        <v>-8.61</v>
      </c>
      <c r="W28" s="25">
        <f t="shared" si="1"/>
        <v>-9.36</v>
      </c>
      <c r="X28" s="25">
        <f t="shared" si="2"/>
        <v>1.02</v>
      </c>
      <c r="Y28" s="25">
        <f t="shared" si="3"/>
        <v>0.97</v>
      </c>
      <c r="Z28" s="25">
        <f t="shared" si="4"/>
        <v>1.02</v>
      </c>
      <c r="AA28" s="25">
        <f t="shared" si="5"/>
        <v>0.97</v>
      </c>
      <c r="AB28" s="25">
        <f t="shared" si="6"/>
        <v>1.02</v>
      </c>
      <c r="AC28" s="25">
        <f t="shared" si="7"/>
        <v>0.97</v>
      </c>
      <c r="AD28" s="25">
        <f t="shared" si="8"/>
        <v>1.02</v>
      </c>
      <c r="AE28" s="25">
        <f t="shared" si="9"/>
        <v>0.97</v>
      </c>
      <c r="AF28" s="25"/>
      <c r="AG28" s="26">
        <v>27</v>
      </c>
      <c r="AH28" s="25">
        <v>14</v>
      </c>
      <c r="AI28" s="25">
        <v>6</v>
      </c>
    </row>
    <row r="29" spans="1:35" s="27" customFormat="1" ht="12.75" x14ac:dyDescent="0.2">
      <c r="A29" s="24" t="s">
        <v>56</v>
      </c>
      <c r="B29" s="25" t="s">
        <v>36</v>
      </c>
      <c r="C29" s="25" t="s">
        <v>57</v>
      </c>
      <c r="D29" s="25">
        <v>27.5</v>
      </c>
      <c r="E29" s="25" t="s">
        <v>43</v>
      </c>
      <c r="F29" s="25">
        <v>225</v>
      </c>
      <c r="G29" s="25" t="s">
        <v>55</v>
      </c>
      <c r="H29" s="25">
        <v>0</v>
      </c>
      <c r="I29" s="25" t="s">
        <v>40</v>
      </c>
      <c r="J29" s="25">
        <v>1</v>
      </c>
      <c r="K29" s="26" t="s">
        <v>53</v>
      </c>
      <c r="L29" s="25">
        <v>10</v>
      </c>
      <c r="M29" s="25">
        <v>0</v>
      </c>
      <c r="N29" s="25">
        <v>0</v>
      </c>
      <c r="O29" s="25">
        <v>-12.43</v>
      </c>
      <c r="P29" s="25">
        <v>-1.26</v>
      </c>
      <c r="Q29" s="25">
        <v>10</v>
      </c>
      <c r="R29" s="25">
        <v>0</v>
      </c>
      <c r="S29" s="25">
        <v>0</v>
      </c>
      <c r="T29" s="25">
        <v>-10.79</v>
      </c>
      <c r="U29" s="25">
        <v>-1.21</v>
      </c>
      <c r="V29" s="25">
        <f t="shared" si="0"/>
        <v>-12.43</v>
      </c>
      <c r="W29" s="25">
        <f t="shared" si="1"/>
        <v>-10.79</v>
      </c>
      <c r="X29" s="25">
        <f t="shared" si="2"/>
        <v>1.26</v>
      </c>
      <c r="Y29" s="25">
        <f t="shared" si="3"/>
        <v>1.21</v>
      </c>
      <c r="Z29" s="25">
        <f t="shared" si="4"/>
        <v>1.26</v>
      </c>
      <c r="AA29" s="25">
        <f t="shared" si="5"/>
        <v>1.21</v>
      </c>
      <c r="AB29" s="25">
        <f t="shared" si="6"/>
        <v>1.26</v>
      </c>
      <c r="AC29" s="25">
        <f t="shared" si="7"/>
        <v>1.21</v>
      </c>
      <c r="AD29" s="25">
        <f t="shared" si="8"/>
        <v>1.26</v>
      </c>
      <c r="AE29" s="25">
        <f t="shared" si="9"/>
        <v>1.21</v>
      </c>
      <c r="AF29" s="25"/>
      <c r="AG29" s="26">
        <v>28</v>
      </c>
      <c r="AH29" s="25">
        <v>15</v>
      </c>
      <c r="AI29" s="25">
        <v>6</v>
      </c>
    </row>
    <row r="30" spans="1:35" s="27" customFormat="1" ht="12.75" x14ac:dyDescent="0.2">
      <c r="A30" s="24" t="s">
        <v>56</v>
      </c>
      <c r="B30" s="25" t="s">
        <v>36</v>
      </c>
      <c r="C30" s="25" t="s">
        <v>57</v>
      </c>
      <c r="D30" s="25">
        <v>27.5</v>
      </c>
      <c r="E30" s="25" t="s">
        <v>43</v>
      </c>
      <c r="F30" s="25">
        <v>225</v>
      </c>
      <c r="G30" s="25" t="s">
        <v>55</v>
      </c>
      <c r="H30" s="25">
        <v>0</v>
      </c>
      <c r="I30" s="25" t="s">
        <v>40</v>
      </c>
      <c r="J30" s="25">
        <v>1.33</v>
      </c>
      <c r="K30" s="26" t="s">
        <v>53</v>
      </c>
      <c r="L30" s="25">
        <v>10</v>
      </c>
      <c r="M30" s="25">
        <v>0</v>
      </c>
      <c r="N30" s="25">
        <v>0</v>
      </c>
      <c r="O30" s="25">
        <v>-14.24</v>
      </c>
      <c r="P30" s="25">
        <v>-1.38</v>
      </c>
      <c r="Q30" s="25">
        <v>10</v>
      </c>
      <c r="R30" s="25">
        <v>0</v>
      </c>
      <c r="S30" s="25">
        <v>0</v>
      </c>
      <c r="T30" s="25">
        <v>-14.74</v>
      </c>
      <c r="U30" s="25">
        <v>-1.38</v>
      </c>
      <c r="V30" s="25">
        <f t="shared" si="0"/>
        <v>-14.24</v>
      </c>
      <c r="W30" s="25">
        <f t="shared" si="1"/>
        <v>-14.74</v>
      </c>
      <c r="X30" s="25">
        <f t="shared" si="2"/>
        <v>1.38</v>
      </c>
      <c r="Y30" s="25">
        <f t="shared" si="3"/>
        <v>1.38</v>
      </c>
      <c r="Z30" s="25">
        <f t="shared" si="4"/>
        <v>1.38</v>
      </c>
      <c r="AA30" s="25">
        <f t="shared" si="5"/>
        <v>1.38</v>
      </c>
      <c r="AB30" s="25">
        <f t="shared" si="6"/>
        <v>1.38</v>
      </c>
      <c r="AC30" s="25">
        <f t="shared" si="7"/>
        <v>1.38</v>
      </c>
      <c r="AD30" s="25">
        <f t="shared" si="8"/>
        <v>1.38</v>
      </c>
      <c r="AE30" s="25">
        <f t="shared" si="9"/>
        <v>1.38</v>
      </c>
      <c r="AF30" s="25"/>
      <c r="AG30" s="26">
        <v>29</v>
      </c>
      <c r="AH30" s="25">
        <v>16</v>
      </c>
      <c r="AI30" s="25">
        <v>6</v>
      </c>
    </row>
    <row r="31" spans="1:35" s="27" customFormat="1" ht="12.75" x14ac:dyDescent="0.2">
      <c r="A31" s="24" t="s">
        <v>56</v>
      </c>
      <c r="B31" s="25" t="s">
        <v>36</v>
      </c>
      <c r="C31" s="25" t="s">
        <v>57</v>
      </c>
      <c r="D31" s="25">
        <v>27.5</v>
      </c>
      <c r="E31" s="25" t="s">
        <v>43</v>
      </c>
      <c r="F31" s="25">
        <v>225</v>
      </c>
      <c r="G31" s="25" t="s">
        <v>55</v>
      </c>
      <c r="H31" s="25">
        <v>0</v>
      </c>
      <c r="I31" s="25" t="s">
        <v>40</v>
      </c>
      <c r="J31" s="25">
        <v>1.66</v>
      </c>
      <c r="K31" s="26" t="s">
        <v>53</v>
      </c>
      <c r="L31" s="25">
        <v>10</v>
      </c>
      <c r="M31" s="25">
        <v>0</v>
      </c>
      <c r="N31" s="25">
        <v>0</v>
      </c>
      <c r="O31" s="25">
        <v>-15.74</v>
      </c>
      <c r="P31" s="25">
        <v>-1.49</v>
      </c>
      <c r="Q31" s="25">
        <v>10</v>
      </c>
      <c r="R31" s="25">
        <v>0</v>
      </c>
      <c r="S31" s="25">
        <v>0</v>
      </c>
      <c r="T31" s="25">
        <v>-15.24</v>
      </c>
      <c r="U31" s="25">
        <v>-1.56</v>
      </c>
      <c r="V31" s="25">
        <f t="shared" si="0"/>
        <v>-15.74</v>
      </c>
      <c r="W31" s="25">
        <f t="shared" si="1"/>
        <v>-15.24</v>
      </c>
      <c r="X31" s="25">
        <f t="shared" si="2"/>
        <v>1.49</v>
      </c>
      <c r="Y31" s="25">
        <f t="shared" si="3"/>
        <v>1.56</v>
      </c>
      <c r="Z31" s="25">
        <f t="shared" si="4"/>
        <v>1.49</v>
      </c>
      <c r="AA31" s="25">
        <f t="shared" si="5"/>
        <v>1.56</v>
      </c>
      <c r="AB31" s="25">
        <f t="shared" si="6"/>
        <v>1.49</v>
      </c>
      <c r="AC31" s="25">
        <f t="shared" si="7"/>
        <v>1.56</v>
      </c>
      <c r="AD31" s="25">
        <f t="shared" si="8"/>
        <v>1.49</v>
      </c>
      <c r="AE31" s="25">
        <f t="shared" si="9"/>
        <v>1.56</v>
      </c>
      <c r="AF31" s="25"/>
      <c r="AG31" s="26">
        <v>30</v>
      </c>
      <c r="AH31" s="25">
        <v>17</v>
      </c>
      <c r="AI31" s="25">
        <v>6</v>
      </c>
    </row>
    <row r="32" spans="1:35" s="27" customFormat="1" ht="12.75" x14ac:dyDescent="0.2">
      <c r="A32" s="24" t="s">
        <v>56</v>
      </c>
      <c r="B32" s="25" t="s">
        <v>36</v>
      </c>
      <c r="C32" s="25" t="s">
        <v>57</v>
      </c>
      <c r="D32" s="25">
        <v>27.5</v>
      </c>
      <c r="E32" s="25" t="s">
        <v>43</v>
      </c>
      <c r="F32" s="25">
        <v>225</v>
      </c>
      <c r="G32" s="25" t="s">
        <v>55</v>
      </c>
      <c r="H32" s="25">
        <v>0</v>
      </c>
      <c r="I32" s="25" t="s">
        <v>40</v>
      </c>
      <c r="J32" s="25">
        <v>2</v>
      </c>
      <c r="K32" s="26" t="s">
        <v>53</v>
      </c>
      <c r="L32" s="25">
        <v>10</v>
      </c>
      <c r="M32" s="25">
        <v>0</v>
      </c>
      <c r="N32" s="25">
        <v>0</v>
      </c>
      <c r="O32" s="25">
        <v>-16.36</v>
      </c>
      <c r="P32" s="25">
        <v>-1.85</v>
      </c>
      <c r="Q32" s="25">
        <v>10</v>
      </c>
      <c r="R32" s="25">
        <v>0</v>
      </c>
      <c r="S32" s="25">
        <v>0</v>
      </c>
      <c r="T32" s="25">
        <v>-15.36</v>
      </c>
      <c r="U32" s="25">
        <v>-1.69</v>
      </c>
      <c r="V32" s="25">
        <f t="shared" si="0"/>
        <v>-16.36</v>
      </c>
      <c r="W32" s="25">
        <f t="shared" si="1"/>
        <v>-15.36</v>
      </c>
      <c r="X32" s="25">
        <f t="shared" si="2"/>
        <v>1.85</v>
      </c>
      <c r="Y32" s="25">
        <f t="shared" si="3"/>
        <v>1.69</v>
      </c>
      <c r="Z32" s="25">
        <f t="shared" si="4"/>
        <v>1.85</v>
      </c>
      <c r="AA32" s="25">
        <f t="shared" si="5"/>
        <v>1.69</v>
      </c>
      <c r="AB32" s="25">
        <f t="shared" si="6"/>
        <v>1.85</v>
      </c>
      <c r="AC32" s="25">
        <f t="shared" si="7"/>
        <v>1.69</v>
      </c>
      <c r="AD32" s="25">
        <f t="shared" si="8"/>
        <v>1.85</v>
      </c>
      <c r="AE32" s="25">
        <f t="shared" si="9"/>
        <v>1.69</v>
      </c>
      <c r="AF32" s="25"/>
      <c r="AG32" s="26">
        <v>31</v>
      </c>
      <c r="AH32" s="25">
        <v>18</v>
      </c>
      <c r="AI32" s="25">
        <v>6</v>
      </c>
    </row>
    <row r="33" spans="1:35" s="27" customFormat="1" ht="12.75" x14ac:dyDescent="0.2">
      <c r="A33" s="24" t="s">
        <v>56</v>
      </c>
      <c r="B33" s="25" t="s">
        <v>46</v>
      </c>
      <c r="C33" s="25" t="s">
        <v>57</v>
      </c>
      <c r="D33" s="25">
        <v>27.5</v>
      </c>
      <c r="E33" s="25" t="s">
        <v>43</v>
      </c>
      <c r="F33" s="25">
        <v>225</v>
      </c>
      <c r="G33" s="25" t="s">
        <v>55</v>
      </c>
      <c r="H33" s="25">
        <v>0</v>
      </c>
      <c r="I33" s="25" t="s">
        <v>40</v>
      </c>
      <c r="J33" s="25">
        <v>0.33</v>
      </c>
      <c r="K33" s="26" t="s">
        <v>53</v>
      </c>
      <c r="L33" s="25">
        <v>10</v>
      </c>
      <c r="M33" s="25">
        <v>0</v>
      </c>
      <c r="N33" s="25">
        <v>0</v>
      </c>
      <c r="O33" s="25">
        <v>-5.03</v>
      </c>
      <c r="P33" s="25">
        <v>-0.64</v>
      </c>
      <c r="Q33" s="25">
        <v>10</v>
      </c>
      <c r="R33" s="25">
        <v>0</v>
      </c>
      <c r="S33" s="25">
        <v>0</v>
      </c>
      <c r="T33" s="25">
        <v>-6.67</v>
      </c>
      <c r="U33" s="25">
        <v>-0.79</v>
      </c>
      <c r="V33" s="25">
        <f t="shared" si="0"/>
        <v>-5.03</v>
      </c>
      <c r="W33" s="25">
        <f t="shared" si="1"/>
        <v>-6.67</v>
      </c>
      <c r="X33" s="25">
        <f t="shared" si="2"/>
        <v>0.64</v>
      </c>
      <c r="Y33" s="25">
        <f t="shared" si="3"/>
        <v>0.79</v>
      </c>
      <c r="Z33" s="25">
        <f t="shared" si="4"/>
        <v>0.64</v>
      </c>
      <c r="AA33" s="25">
        <f t="shared" si="5"/>
        <v>0.79</v>
      </c>
      <c r="AB33" s="25">
        <f t="shared" si="6"/>
        <v>0.64</v>
      </c>
      <c r="AC33" s="25">
        <f t="shared" si="7"/>
        <v>0.79</v>
      </c>
      <c r="AD33" s="25">
        <f t="shared" si="8"/>
        <v>0.64</v>
      </c>
      <c r="AE33" s="25">
        <f t="shared" si="9"/>
        <v>0.79</v>
      </c>
      <c r="AF33" s="25"/>
      <c r="AG33" s="26">
        <v>32</v>
      </c>
      <c r="AH33" s="25">
        <v>19</v>
      </c>
      <c r="AI33" s="25">
        <v>6</v>
      </c>
    </row>
    <row r="34" spans="1:35" s="27" customFormat="1" ht="12.75" x14ac:dyDescent="0.2">
      <c r="A34" s="24" t="s">
        <v>56</v>
      </c>
      <c r="B34" s="25" t="s">
        <v>46</v>
      </c>
      <c r="C34" s="25" t="s">
        <v>57</v>
      </c>
      <c r="D34" s="25">
        <v>27.5</v>
      </c>
      <c r="E34" s="25" t="s">
        <v>43</v>
      </c>
      <c r="F34" s="25">
        <v>225</v>
      </c>
      <c r="G34" s="25" t="s">
        <v>55</v>
      </c>
      <c r="H34" s="25">
        <v>0</v>
      </c>
      <c r="I34" s="25" t="s">
        <v>40</v>
      </c>
      <c r="J34" s="25">
        <v>0.66</v>
      </c>
      <c r="K34" s="26" t="s">
        <v>53</v>
      </c>
      <c r="L34" s="25">
        <v>10</v>
      </c>
      <c r="M34" s="25">
        <v>0</v>
      </c>
      <c r="N34" s="25">
        <v>0</v>
      </c>
      <c r="O34" s="25">
        <v>-8.61</v>
      </c>
      <c r="P34" s="25">
        <v>-1.02</v>
      </c>
      <c r="Q34" s="25">
        <v>10</v>
      </c>
      <c r="R34" s="25">
        <v>0</v>
      </c>
      <c r="S34" s="25">
        <v>0</v>
      </c>
      <c r="T34" s="25">
        <v>-9.3699999999999992</v>
      </c>
      <c r="U34" s="25">
        <v>-1.21</v>
      </c>
      <c r="V34" s="25">
        <f t="shared" si="0"/>
        <v>-8.61</v>
      </c>
      <c r="W34" s="25">
        <f t="shared" si="1"/>
        <v>-9.3699999999999992</v>
      </c>
      <c r="X34" s="25">
        <f t="shared" si="2"/>
        <v>1.02</v>
      </c>
      <c r="Y34" s="25">
        <f t="shared" si="3"/>
        <v>1.21</v>
      </c>
      <c r="Z34" s="25">
        <f t="shared" si="4"/>
        <v>1.02</v>
      </c>
      <c r="AA34" s="25">
        <f t="shared" si="5"/>
        <v>1.21</v>
      </c>
      <c r="AB34" s="25">
        <f t="shared" si="6"/>
        <v>1.02</v>
      </c>
      <c r="AC34" s="25">
        <f t="shared" si="7"/>
        <v>1.21</v>
      </c>
      <c r="AD34" s="25">
        <f t="shared" si="8"/>
        <v>1.02</v>
      </c>
      <c r="AE34" s="25">
        <f t="shared" si="9"/>
        <v>1.21</v>
      </c>
      <c r="AF34" s="25"/>
      <c r="AG34" s="26">
        <v>33</v>
      </c>
      <c r="AH34" s="25">
        <v>20</v>
      </c>
      <c r="AI34" s="25">
        <v>6</v>
      </c>
    </row>
    <row r="35" spans="1:35" s="27" customFormat="1" ht="12.75" x14ac:dyDescent="0.2">
      <c r="A35" s="24" t="s">
        <v>56</v>
      </c>
      <c r="B35" s="25" t="s">
        <v>46</v>
      </c>
      <c r="C35" s="25" t="s">
        <v>57</v>
      </c>
      <c r="D35" s="25">
        <v>27.5</v>
      </c>
      <c r="E35" s="25" t="s">
        <v>43</v>
      </c>
      <c r="F35" s="25">
        <v>225</v>
      </c>
      <c r="G35" s="25" t="s">
        <v>55</v>
      </c>
      <c r="H35" s="25">
        <v>0</v>
      </c>
      <c r="I35" s="25" t="s">
        <v>40</v>
      </c>
      <c r="J35" s="25">
        <v>1</v>
      </c>
      <c r="K35" s="26" t="s">
        <v>53</v>
      </c>
      <c r="L35" s="25">
        <v>10</v>
      </c>
      <c r="M35" s="25">
        <v>0</v>
      </c>
      <c r="N35" s="25">
        <v>0</v>
      </c>
      <c r="O35" s="25">
        <v>-12.43</v>
      </c>
      <c r="P35" s="25">
        <v>-1.26</v>
      </c>
      <c r="Q35" s="25">
        <v>10</v>
      </c>
      <c r="R35" s="25">
        <v>0</v>
      </c>
      <c r="S35" s="25">
        <v>0</v>
      </c>
      <c r="T35" s="25">
        <v>-12.05</v>
      </c>
      <c r="U35" s="25">
        <v>-1.29</v>
      </c>
      <c r="V35" s="25">
        <f t="shared" si="0"/>
        <v>-12.43</v>
      </c>
      <c r="W35" s="25">
        <f t="shared" si="1"/>
        <v>-12.05</v>
      </c>
      <c r="X35" s="25">
        <f t="shared" si="2"/>
        <v>1.26</v>
      </c>
      <c r="Y35" s="25">
        <f t="shared" si="3"/>
        <v>1.29</v>
      </c>
      <c r="Z35" s="25">
        <f t="shared" si="4"/>
        <v>1.26</v>
      </c>
      <c r="AA35" s="25">
        <f t="shared" si="5"/>
        <v>1.29</v>
      </c>
      <c r="AB35" s="25">
        <f t="shared" si="6"/>
        <v>1.26</v>
      </c>
      <c r="AC35" s="25">
        <f t="shared" si="7"/>
        <v>1.29</v>
      </c>
      <c r="AD35" s="25">
        <f t="shared" si="8"/>
        <v>1.26</v>
      </c>
      <c r="AE35" s="25">
        <f t="shared" si="9"/>
        <v>1.29</v>
      </c>
      <c r="AF35" s="25"/>
      <c r="AG35" s="26">
        <v>34</v>
      </c>
      <c r="AH35" s="25">
        <v>21</v>
      </c>
      <c r="AI35" s="25">
        <v>6</v>
      </c>
    </row>
    <row r="36" spans="1:35" s="27" customFormat="1" ht="12.75" x14ac:dyDescent="0.2">
      <c r="A36" s="24" t="s">
        <v>56</v>
      </c>
      <c r="B36" s="25" t="s">
        <v>46</v>
      </c>
      <c r="C36" s="25" t="s">
        <v>57</v>
      </c>
      <c r="D36" s="25">
        <v>27.5</v>
      </c>
      <c r="E36" s="25" t="s">
        <v>43</v>
      </c>
      <c r="F36" s="25">
        <v>225</v>
      </c>
      <c r="G36" s="25" t="s">
        <v>55</v>
      </c>
      <c r="H36" s="25">
        <v>0</v>
      </c>
      <c r="I36" s="25" t="s">
        <v>40</v>
      </c>
      <c r="J36" s="25">
        <v>1.33</v>
      </c>
      <c r="K36" s="26" t="s">
        <v>53</v>
      </c>
      <c r="L36" s="25">
        <v>10</v>
      </c>
      <c r="M36" s="25">
        <v>0</v>
      </c>
      <c r="N36" s="25">
        <v>0</v>
      </c>
      <c r="O36" s="25">
        <v>-14.24</v>
      </c>
      <c r="P36" s="25">
        <v>-1.38</v>
      </c>
      <c r="Q36" s="25">
        <v>10</v>
      </c>
      <c r="R36" s="25">
        <v>0</v>
      </c>
      <c r="S36" s="25">
        <v>0</v>
      </c>
      <c r="T36" s="25">
        <v>-13.68</v>
      </c>
      <c r="U36" s="25">
        <v>-1.36</v>
      </c>
      <c r="V36" s="25">
        <f t="shared" si="0"/>
        <v>-14.24</v>
      </c>
      <c r="W36" s="25">
        <f t="shared" si="1"/>
        <v>-13.68</v>
      </c>
      <c r="X36" s="25">
        <f t="shared" si="2"/>
        <v>1.38</v>
      </c>
      <c r="Y36" s="25">
        <f t="shared" si="3"/>
        <v>1.36</v>
      </c>
      <c r="Z36" s="25">
        <f t="shared" si="4"/>
        <v>1.38</v>
      </c>
      <c r="AA36" s="25">
        <f t="shared" si="5"/>
        <v>1.36</v>
      </c>
      <c r="AB36" s="25">
        <f t="shared" si="6"/>
        <v>1.38</v>
      </c>
      <c r="AC36" s="25">
        <f t="shared" si="7"/>
        <v>1.36</v>
      </c>
      <c r="AD36" s="25">
        <f t="shared" si="8"/>
        <v>1.38</v>
      </c>
      <c r="AE36" s="25">
        <f t="shared" si="9"/>
        <v>1.36</v>
      </c>
      <c r="AF36" s="25"/>
      <c r="AG36" s="26">
        <v>35</v>
      </c>
      <c r="AH36" s="25">
        <v>22</v>
      </c>
      <c r="AI36" s="25">
        <v>6</v>
      </c>
    </row>
    <row r="37" spans="1:35" s="27" customFormat="1" ht="12.75" x14ac:dyDescent="0.2">
      <c r="A37" s="24" t="s">
        <v>56</v>
      </c>
      <c r="B37" s="25" t="s">
        <v>46</v>
      </c>
      <c r="C37" s="25" t="s">
        <v>57</v>
      </c>
      <c r="D37" s="25">
        <v>27.5</v>
      </c>
      <c r="E37" s="25" t="s">
        <v>43</v>
      </c>
      <c r="F37" s="25">
        <v>225</v>
      </c>
      <c r="G37" s="25" t="s">
        <v>55</v>
      </c>
      <c r="H37" s="25">
        <v>0</v>
      </c>
      <c r="I37" s="25" t="s">
        <v>40</v>
      </c>
      <c r="J37" s="25">
        <v>1.66</v>
      </c>
      <c r="K37" s="26" t="s">
        <v>53</v>
      </c>
      <c r="L37" s="25">
        <v>10</v>
      </c>
      <c r="M37" s="25">
        <v>0</v>
      </c>
      <c r="N37" s="25">
        <v>0</v>
      </c>
      <c r="O37" s="25">
        <v>-15.74</v>
      </c>
      <c r="P37" s="25">
        <v>-1.49</v>
      </c>
      <c r="Q37" s="25">
        <v>10</v>
      </c>
      <c r="R37" s="25">
        <v>0</v>
      </c>
      <c r="S37" s="25">
        <v>0</v>
      </c>
      <c r="T37" s="25">
        <v>-14.99</v>
      </c>
      <c r="U37" s="25">
        <v>-1.72</v>
      </c>
      <c r="V37" s="25">
        <f t="shared" si="0"/>
        <v>-15.74</v>
      </c>
      <c r="W37" s="25">
        <f t="shared" si="1"/>
        <v>-14.99</v>
      </c>
      <c r="X37" s="25">
        <f t="shared" si="2"/>
        <v>1.49</v>
      </c>
      <c r="Y37" s="25">
        <f t="shared" si="3"/>
        <v>1.72</v>
      </c>
      <c r="Z37" s="25">
        <f t="shared" si="4"/>
        <v>1.49</v>
      </c>
      <c r="AA37" s="25">
        <f t="shared" si="5"/>
        <v>1.72</v>
      </c>
      <c r="AB37" s="25">
        <f t="shared" si="6"/>
        <v>1.49</v>
      </c>
      <c r="AC37" s="25">
        <f t="shared" si="7"/>
        <v>1.72</v>
      </c>
      <c r="AD37" s="25">
        <f t="shared" si="8"/>
        <v>1.49</v>
      </c>
      <c r="AE37" s="25">
        <f t="shared" si="9"/>
        <v>1.72</v>
      </c>
      <c r="AF37" s="25"/>
      <c r="AG37" s="26">
        <v>36</v>
      </c>
      <c r="AH37" s="25">
        <v>23</v>
      </c>
      <c r="AI37" s="25">
        <v>6</v>
      </c>
    </row>
    <row r="38" spans="1:35" s="27" customFormat="1" ht="12.75" x14ac:dyDescent="0.2">
      <c r="A38" s="24" t="s">
        <v>56</v>
      </c>
      <c r="B38" s="25" t="s">
        <v>46</v>
      </c>
      <c r="C38" s="25" t="s">
        <v>57</v>
      </c>
      <c r="D38" s="25">
        <v>27.5</v>
      </c>
      <c r="E38" s="25" t="s">
        <v>43</v>
      </c>
      <c r="F38" s="25">
        <v>225</v>
      </c>
      <c r="G38" s="25" t="s">
        <v>55</v>
      </c>
      <c r="H38" s="25">
        <v>0</v>
      </c>
      <c r="I38" s="25" t="s">
        <v>40</v>
      </c>
      <c r="J38" s="25">
        <v>2</v>
      </c>
      <c r="K38" s="26" t="s">
        <v>53</v>
      </c>
      <c r="L38" s="25">
        <v>10</v>
      </c>
      <c r="M38" s="25">
        <v>0</v>
      </c>
      <c r="N38" s="25">
        <v>0</v>
      </c>
      <c r="O38" s="25">
        <v>-16.36</v>
      </c>
      <c r="P38" s="25">
        <v>-1.85</v>
      </c>
      <c r="Q38" s="25">
        <v>10</v>
      </c>
      <c r="R38" s="25">
        <v>0</v>
      </c>
      <c r="S38" s="25">
        <v>0</v>
      </c>
      <c r="T38" s="25">
        <v>-15.86</v>
      </c>
      <c r="U38" s="25">
        <v>-1.65</v>
      </c>
      <c r="V38" s="25">
        <f t="shared" si="0"/>
        <v>-16.36</v>
      </c>
      <c r="W38" s="25">
        <f t="shared" si="1"/>
        <v>-15.86</v>
      </c>
      <c r="X38" s="25">
        <f t="shared" si="2"/>
        <v>1.85</v>
      </c>
      <c r="Y38" s="25">
        <f t="shared" si="3"/>
        <v>1.65</v>
      </c>
      <c r="Z38" s="25">
        <f t="shared" si="4"/>
        <v>1.85</v>
      </c>
      <c r="AA38" s="25">
        <f t="shared" si="5"/>
        <v>1.65</v>
      </c>
      <c r="AB38" s="25">
        <f t="shared" si="6"/>
        <v>1.85</v>
      </c>
      <c r="AC38" s="25">
        <f t="shared" si="7"/>
        <v>1.65</v>
      </c>
      <c r="AD38" s="25">
        <f t="shared" si="8"/>
        <v>1.85</v>
      </c>
      <c r="AE38" s="25">
        <f t="shared" si="9"/>
        <v>1.65</v>
      </c>
      <c r="AF38" s="25"/>
      <c r="AG38" s="26">
        <v>37</v>
      </c>
      <c r="AH38" s="25">
        <v>24</v>
      </c>
      <c r="AI38" s="25">
        <v>6</v>
      </c>
    </row>
    <row r="39" spans="1:35" s="31" customFormat="1" ht="25.5" x14ac:dyDescent="0.2">
      <c r="A39" s="28" t="s">
        <v>58</v>
      </c>
      <c r="B39" s="29" t="s">
        <v>51</v>
      </c>
      <c r="C39" s="30" t="s">
        <v>37</v>
      </c>
      <c r="D39" s="31">
        <v>22.95</v>
      </c>
      <c r="E39" s="30" t="s">
        <v>43</v>
      </c>
      <c r="F39" s="29">
        <v>220</v>
      </c>
      <c r="G39" s="29" t="s">
        <v>39</v>
      </c>
      <c r="H39" s="30">
        <v>0</v>
      </c>
      <c r="I39" s="31" t="s">
        <v>59</v>
      </c>
      <c r="J39" s="30">
        <v>0</v>
      </c>
      <c r="K39" s="29" t="s">
        <v>53</v>
      </c>
      <c r="L39" s="30">
        <v>15</v>
      </c>
      <c r="M39" s="31">
        <v>1.1399999999999999</v>
      </c>
      <c r="N39" s="30">
        <v>0.56999999999999995</v>
      </c>
      <c r="O39" s="30">
        <v>19.059999999999999</v>
      </c>
      <c r="P39" s="30">
        <v>3.11</v>
      </c>
      <c r="Q39" s="30">
        <v>14</v>
      </c>
      <c r="R39" s="31">
        <v>2.16</v>
      </c>
      <c r="S39" s="30">
        <v>1.44</v>
      </c>
      <c r="T39" s="30">
        <v>20.46</v>
      </c>
      <c r="U39" s="30">
        <v>2.54</v>
      </c>
      <c r="V39" s="30">
        <f t="shared" si="0"/>
        <v>17.919999999999998</v>
      </c>
      <c r="W39" s="30">
        <f t="shared" si="1"/>
        <v>18.3</v>
      </c>
      <c r="X39" s="30">
        <f t="shared" si="2"/>
        <v>2.8053092521146397</v>
      </c>
      <c r="Y39" s="30">
        <f t="shared" si="3"/>
        <v>2.0337354793581195</v>
      </c>
      <c r="Z39" s="30">
        <f t="shared" si="4"/>
        <v>2.7413901582956042</v>
      </c>
      <c r="AA39" s="30">
        <f t="shared" si="5"/>
        <v>1.8451449807535449</v>
      </c>
      <c r="AB39" s="30">
        <f t="shared" si="6"/>
        <v>2.6759446930009592</v>
      </c>
      <c r="AC39" s="30">
        <f t="shared" si="7"/>
        <v>1.6349434240976048</v>
      </c>
      <c r="AD39" s="30">
        <f t="shared" si="8"/>
        <v>2.608857987702665</v>
      </c>
      <c r="AE39" s="30">
        <f t="shared" si="9"/>
        <v>1.3933843690812666</v>
      </c>
      <c r="AG39" s="29">
        <v>38</v>
      </c>
      <c r="AH39" s="30">
        <v>1</v>
      </c>
      <c r="AI39" s="30">
        <v>7</v>
      </c>
    </row>
    <row r="40" spans="1:35" s="31" customFormat="1" ht="25.5" x14ac:dyDescent="0.2">
      <c r="A40" s="28" t="s">
        <v>58</v>
      </c>
      <c r="B40" s="29" t="s">
        <v>51</v>
      </c>
      <c r="C40" s="30" t="s">
        <v>37</v>
      </c>
      <c r="D40" s="31">
        <v>22.95</v>
      </c>
      <c r="E40" s="30" t="s">
        <v>43</v>
      </c>
      <c r="F40" s="29">
        <v>220</v>
      </c>
      <c r="G40" s="29" t="s">
        <v>39</v>
      </c>
      <c r="H40" s="30">
        <v>0</v>
      </c>
      <c r="I40" s="31" t="s">
        <v>59</v>
      </c>
      <c r="J40" s="30">
        <v>24</v>
      </c>
      <c r="K40" s="31">
        <v>24</v>
      </c>
      <c r="L40" s="30">
        <v>15</v>
      </c>
      <c r="M40" s="31">
        <v>1.1399999999999999</v>
      </c>
      <c r="N40" s="30">
        <v>0.56999999999999995</v>
      </c>
      <c r="O40" s="30">
        <v>28.91</v>
      </c>
      <c r="P40" s="30">
        <v>4.58</v>
      </c>
      <c r="Q40" s="30">
        <v>14</v>
      </c>
      <c r="R40" s="31">
        <v>2.16</v>
      </c>
      <c r="S40" s="30">
        <v>1.44</v>
      </c>
      <c r="T40" s="30">
        <v>37.17</v>
      </c>
      <c r="U40" s="30">
        <v>4.8600000000000003</v>
      </c>
      <c r="V40" s="30">
        <f t="shared" si="0"/>
        <v>27.77</v>
      </c>
      <c r="W40" s="30">
        <f t="shared" si="1"/>
        <v>35.010000000000005</v>
      </c>
      <c r="X40" s="30">
        <f t="shared" si="2"/>
        <v>4.2624617300334791</v>
      </c>
      <c r="Y40" s="30">
        <f t="shared" si="3"/>
        <v>4.1587401938567892</v>
      </c>
      <c r="Z40" s="30">
        <f t="shared" si="4"/>
        <v>4.2007689772230989</v>
      </c>
      <c r="AA40" s="30">
        <f t="shared" si="5"/>
        <v>3.9869085768299226</v>
      </c>
      <c r="AB40" s="30">
        <f t="shared" si="6"/>
        <v>4.1381565944270404</v>
      </c>
      <c r="AC40" s="30">
        <f t="shared" si="7"/>
        <v>3.8073297729511166</v>
      </c>
      <c r="AD40" s="30">
        <f t="shared" si="8"/>
        <v>4.0745821871696251</v>
      </c>
      <c r="AE40" s="30">
        <f t="shared" si="9"/>
        <v>3.6188506462687844</v>
      </c>
      <c r="AG40" s="29">
        <v>39</v>
      </c>
      <c r="AH40" s="30">
        <v>2</v>
      </c>
      <c r="AI40" s="30">
        <v>7</v>
      </c>
    </row>
    <row r="41" spans="1:35" s="31" customFormat="1" ht="25.5" x14ac:dyDescent="0.2">
      <c r="A41" s="28" t="s">
        <v>58</v>
      </c>
      <c r="B41" s="29" t="s">
        <v>51</v>
      </c>
      <c r="C41" s="30" t="s">
        <v>37</v>
      </c>
      <c r="D41" s="31">
        <v>22.95</v>
      </c>
      <c r="E41" s="30" t="s">
        <v>43</v>
      </c>
      <c r="F41" s="29">
        <v>220</v>
      </c>
      <c r="G41" s="29" t="s">
        <v>39</v>
      </c>
      <c r="H41" s="30">
        <v>0</v>
      </c>
      <c r="I41" s="31" t="s">
        <v>59</v>
      </c>
      <c r="J41" s="30">
        <v>48</v>
      </c>
      <c r="K41" s="31">
        <v>48</v>
      </c>
      <c r="L41" s="30">
        <v>15</v>
      </c>
      <c r="M41" s="31">
        <v>1.1399999999999999</v>
      </c>
      <c r="N41" s="30">
        <v>0.56999999999999995</v>
      </c>
      <c r="O41" s="30">
        <v>18.36</v>
      </c>
      <c r="P41" s="30">
        <v>7.12</v>
      </c>
      <c r="Q41" s="30">
        <v>14</v>
      </c>
      <c r="R41" s="31">
        <v>2.16</v>
      </c>
      <c r="S41" s="30">
        <v>1.44</v>
      </c>
      <c r="T41" s="30">
        <v>25.48</v>
      </c>
      <c r="U41" s="30">
        <v>5.78</v>
      </c>
      <c r="V41" s="30">
        <f t="shared" si="0"/>
        <v>17.22</v>
      </c>
      <c r="W41" s="30">
        <f t="shared" si="1"/>
        <v>23.32</v>
      </c>
      <c r="X41" s="30">
        <f t="shared" si="2"/>
        <v>6.7933217206312255</v>
      </c>
      <c r="Y41" s="30">
        <f t="shared" si="3"/>
        <v>5.0491741899047211</v>
      </c>
      <c r="Z41" s="30">
        <f t="shared" si="4"/>
        <v>6.7333156765445068</v>
      </c>
      <c r="AA41" s="30">
        <f t="shared" si="5"/>
        <v>4.8815489345083902</v>
      </c>
      <c r="AB41" s="30">
        <f t="shared" si="6"/>
        <v>6.6727700394963412</v>
      </c>
      <c r="AC41" s="30">
        <f t="shared" si="7"/>
        <v>4.7079592181751106</v>
      </c>
      <c r="AD41" s="30">
        <f t="shared" si="8"/>
        <v>6.611669985714653</v>
      </c>
      <c r="AE41" s="30">
        <f t="shared" si="9"/>
        <v>4.527719072557395</v>
      </c>
      <c r="AG41" s="29">
        <v>40</v>
      </c>
      <c r="AH41" s="30">
        <v>3</v>
      </c>
      <c r="AI41" s="30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E406-D167-496B-86E5-BCAB514CF6B3}">
  <dimension ref="A1:AG13"/>
  <sheetViews>
    <sheetView topLeftCell="B1" workbookViewId="0">
      <selection activeCell="O26" sqref="O26"/>
    </sheetView>
  </sheetViews>
  <sheetFormatPr defaultRowHeight="14.25" x14ac:dyDescent="0.2"/>
  <cols>
    <col min="7" max="7" width="13.5" bestFit="1" customWidth="1"/>
    <col min="30" max="30" width="3.75" bestFit="1" customWidth="1"/>
    <col min="31" max="31" width="4.25" bestFit="1" customWidth="1"/>
    <col min="32" max="32" width="2.75" bestFit="1" customWidth="1"/>
    <col min="33" max="33" width="6.625" bestFit="1" customWidth="1"/>
  </cols>
  <sheetData>
    <row r="1" spans="1:33" ht="24.75" customHeight="1" x14ac:dyDescent="0.2">
      <c r="A1" s="1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  <c r="G1" s="35" t="s">
        <v>6</v>
      </c>
      <c r="H1" s="35" t="s">
        <v>8</v>
      </c>
      <c r="I1" s="35" t="s">
        <v>9</v>
      </c>
      <c r="J1" s="35" t="s">
        <v>11</v>
      </c>
      <c r="K1" s="35" t="s">
        <v>12</v>
      </c>
      <c r="L1" s="35" t="s">
        <v>13</v>
      </c>
      <c r="M1" s="35" t="s">
        <v>14</v>
      </c>
      <c r="N1" s="35" t="s">
        <v>15</v>
      </c>
      <c r="O1" s="35" t="s">
        <v>16</v>
      </c>
      <c r="P1" s="35" t="s">
        <v>17</v>
      </c>
      <c r="Q1" s="35" t="s">
        <v>18</v>
      </c>
      <c r="R1" s="35" t="s">
        <v>19</v>
      </c>
      <c r="S1" s="35" t="s">
        <v>20</v>
      </c>
      <c r="T1" s="35" t="s">
        <v>21</v>
      </c>
      <c r="U1" s="35" t="s">
        <v>22</v>
      </c>
      <c r="V1" s="35" t="s">
        <v>23</v>
      </c>
      <c r="W1" s="35" t="s">
        <v>24</v>
      </c>
      <c r="X1" s="35" t="s">
        <v>25</v>
      </c>
      <c r="Y1" s="35" t="s">
        <v>26</v>
      </c>
      <c r="Z1" s="35" t="s">
        <v>27</v>
      </c>
      <c r="AA1" s="35" t="s">
        <v>28</v>
      </c>
      <c r="AB1" s="35" t="s">
        <v>29</v>
      </c>
      <c r="AC1" s="35" t="s">
        <v>30</v>
      </c>
      <c r="AD1" s="35" t="s">
        <v>31</v>
      </c>
      <c r="AE1" s="35" t="s">
        <v>32</v>
      </c>
      <c r="AF1" s="35" t="s">
        <v>33</v>
      </c>
      <c r="AG1" s="35" t="s">
        <v>34</v>
      </c>
    </row>
    <row r="2" spans="1:33" ht="15" x14ac:dyDescent="0.2">
      <c r="A2" s="4" t="s">
        <v>66</v>
      </c>
      <c r="B2" s="37" t="s">
        <v>36</v>
      </c>
      <c r="C2" s="33" t="s">
        <v>67</v>
      </c>
      <c r="D2" s="33">
        <v>36.049999999999997</v>
      </c>
      <c r="E2" s="38" t="s">
        <v>43</v>
      </c>
      <c r="F2" s="38">
        <v>220</v>
      </c>
      <c r="G2" s="38" t="s">
        <v>39</v>
      </c>
      <c r="H2" s="33" t="s">
        <v>69</v>
      </c>
      <c r="I2" s="33">
        <v>0</v>
      </c>
      <c r="J2" s="33">
        <v>10</v>
      </c>
      <c r="K2" s="33">
        <v>0.51</v>
      </c>
      <c r="L2" s="33">
        <v>0.5</v>
      </c>
      <c r="M2" s="33">
        <v>6.34</v>
      </c>
      <c r="N2" s="33">
        <v>1.97</v>
      </c>
      <c r="O2" s="33">
        <v>8</v>
      </c>
      <c r="P2" s="33">
        <v>0.7</v>
      </c>
      <c r="Q2" s="33">
        <v>0.45</v>
      </c>
      <c r="R2" s="33">
        <v>9.09</v>
      </c>
      <c r="S2" s="33">
        <v>3.07</v>
      </c>
      <c r="T2" s="37">
        <f t="shared" ref="T2:T13" si="0">M2-K2</f>
        <v>5.83</v>
      </c>
      <c r="U2" s="37">
        <f t="shared" ref="U2:U13" si="1">R2-P2</f>
        <v>8.39</v>
      </c>
      <c r="V2" s="37">
        <f t="shared" ref="V2:V13" si="2">SQRT(POWER(L2,2)+POWER(N2,2)-(0.6*2*L2*N2))</f>
        <v>1.7172361514946046</v>
      </c>
      <c r="W2" s="37">
        <f t="shared" ref="W2:W13" si="3">SQRT(POWER(Q2,2)+POWER(S2,2)-(0.6*2*Q2*S2))</f>
        <v>2.8230479981750221</v>
      </c>
      <c r="X2" s="37">
        <f t="shared" ref="X2:X13" si="4">SQRT(POWER(L2,2)+POWER(N2,2)-(0.7*2*L2*N2))</f>
        <v>1.6588851678160248</v>
      </c>
      <c r="Y2" s="37">
        <f t="shared" ref="Y2:Y13" si="5">SQRT(POWER(Q2,2)+POWER(S2,2)-(0.7*2*Q2*S2))</f>
        <v>2.7736798661705717</v>
      </c>
      <c r="Z2" s="37">
        <f t="shared" ref="Z2:Z13" si="6">SQRT(POWER(L2,2)+POWER(N2,2)-(0.8*2*L2*N2))</f>
        <v>1.5984054554461458</v>
      </c>
      <c r="AA2" s="37">
        <f t="shared" ref="AA2:AA13" si="7">SQRT(POWER(Q2,2)+POWER(S2,2)-(0.8*2*Q2*S2))</f>
        <v>2.7234169713798875</v>
      </c>
      <c r="AB2" s="37">
        <f t="shared" ref="AB2:AB13" si="8">SQRT(POWER(L2,2)+POWER(N2,2)-(0.9*2*L2*N2))</f>
        <v>1.5355455056754264</v>
      </c>
      <c r="AC2" s="37">
        <f t="shared" ref="AC2:AC13" si="9">SQRT(POWER(Q2,2)+POWER(S2,2)-(0.9*2*Q2*S2))</f>
        <v>2.6722088241752364</v>
      </c>
      <c r="AD2" s="33"/>
      <c r="AE2" s="33">
        <v>1</v>
      </c>
      <c r="AF2" s="33">
        <v>1</v>
      </c>
      <c r="AG2" s="33">
        <v>1</v>
      </c>
    </row>
    <row r="3" spans="1:33" ht="15" x14ac:dyDescent="0.2">
      <c r="A3" s="4" t="s">
        <v>66</v>
      </c>
      <c r="B3" s="37" t="s">
        <v>36</v>
      </c>
      <c r="C3" s="33" t="s">
        <v>67</v>
      </c>
      <c r="D3" s="33">
        <v>36.049999999999997</v>
      </c>
      <c r="E3" s="38" t="s">
        <v>43</v>
      </c>
      <c r="F3" s="38">
        <v>220</v>
      </c>
      <c r="G3" s="38" t="s">
        <v>39</v>
      </c>
      <c r="H3" s="33" t="s">
        <v>69</v>
      </c>
      <c r="I3" s="33">
        <v>24</v>
      </c>
      <c r="J3" s="33">
        <v>10</v>
      </c>
      <c r="K3" s="33">
        <v>0.51</v>
      </c>
      <c r="L3" s="33">
        <v>0.5</v>
      </c>
      <c r="M3" s="33">
        <v>1.78</v>
      </c>
      <c r="N3" s="33">
        <v>1.27</v>
      </c>
      <c r="O3" s="33">
        <v>8</v>
      </c>
      <c r="P3" s="33">
        <v>0.7</v>
      </c>
      <c r="Q3" s="33">
        <v>0.45</v>
      </c>
      <c r="R3" s="33">
        <v>2.85</v>
      </c>
      <c r="S3" s="33">
        <v>0.85</v>
      </c>
      <c r="T3" s="37">
        <f t="shared" si="0"/>
        <v>1.27</v>
      </c>
      <c r="U3" s="37">
        <f t="shared" si="1"/>
        <v>2.1500000000000004</v>
      </c>
      <c r="V3" s="37">
        <f t="shared" si="2"/>
        <v>1.049237818609299</v>
      </c>
      <c r="W3" s="37">
        <f t="shared" si="3"/>
        <v>0.68264192663504042</v>
      </c>
      <c r="X3" s="37">
        <f t="shared" si="4"/>
        <v>0.98686371906155312</v>
      </c>
      <c r="Y3" s="37">
        <f t="shared" si="5"/>
        <v>0.62409935106519698</v>
      </c>
      <c r="Z3" s="37">
        <f t="shared" si="6"/>
        <v>0.92027169901067807</v>
      </c>
      <c r="AA3" s="37">
        <f t="shared" si="7"/>
        <v>0.55946402922797445</v>
      </c>
      <c r="AB3" s="37">
        <f t="shared" si="8"/>
        <v>0.84846920981258944</v>
      </c>
      <c r="AC3" s="37">
        <f t="shared" si="9"/>
        <v>0.48631265663151307</v>
      </c>
      <c r="AD3" s="33"/>
      <c r="AE3" s="33">
        <v>2</v>
      </c>
      <c r="AF3" s="33">
        <v>2</v>
      </c>
      <c r="AG3" s="33">
        <v>1</v>
      </c>
    </row>
    <row r="4" spans="1:33" ht="15" x14ac:dyDescent="0.2">
      <c r="A4" s="4" t="s">
        <v>66</v>
      </c>
      <c r="B4" s="37" t="s">
        <v>36</v>
      </c>
      <c r="C4" s="33" t="s">
        <v>67</v>
      </c>
      <c r="D4" s="33">
        <v>36.049999999999997</v>
      </c>
      <c r="E4" s="38" t="s">
        <v>43</v>
      </c>
      <c r="F4" s="38">
        <v>220</v>
      </c>
      <c r="G4" s="38" t="s">
        <v>39</v>
      </c>
      <c r="H4" s="33" t="s">
        <v>69</v>
      </c>
      <c r="I4" s="33">
        <v>72</v>
      </c>
      <c r="J4" s="33">
        <v>10</v>
      </c>
      <c r="K4" s="33">
        <v>0.51</v>
      </c>
      <c r="L4" s="33">
        <v>0.5</v>
      </c>
      <c r="M4" s="33">
        <v>0.35799999999999998</v>
      </c>
      <c r="N4" s="33">
        <v>0.17</v>
      </c>
      <c r="O4" s="33">
        <v>8</v>
      </c>
      <c r="P4" s="33">
        <v>0.7</v>
      </c>
      <c r="Q4" s="33">
        <v>0.45</v>
      </c>
      <c r="R4" s="33">
        <v>0.49</v>
      </c>
      <c r="S4" s="33">
        <v>0.4</v>
      </c>
      <c r="T4" s="37">
        <f t="shared" si="0"/>
        <v>-0.15200000000000002</v>
      </c>
      <c r="U4" s="37">
        <f t="shared" si="1"/>
        <v>-0.20999999999999996</v>
      </c>
      <c r="V4" s="37">
        <f t="shared" si="2"/>
        <v>0.42059481689626177</v>
      </c>
      <c r="W4" s="37">
        <f t="shared" si="3"/>
        <v>0.3827531841800928</v>
      </c>
      <c r="X4" s="37">
        <f t="shared" si="4"/>
        <v>0.39987498046264408</v>
      </c>
      <c r="Y4" s="37">
        <f t="shared" si="5"/>
        <v>0.3324154027718933</v>
      </c>
      <c r="Z4" s="37">
        <f t="shared" si="6"/>
        <v>0.37802116342871595</v>
      </c>
      <c r="AA4" s="37">
        <f t="shared" si="7"/>
        <v>0.27294688127912364</v>
      </c>
      <c r="AB4" s="37">
        <f t="shared" si="8"/>
        <v>0.35482389998420338</v>
      </c>
      <c r="AC4" s="37">
        <f t="shared" si="9"/>
        <v>0.19621416870348579</v>
      </c>
      <c r="AD4" s="33"/>
      <c r="AE4" s="33">
        <v>3</v>
      </c>
      <c r="AF4" s="33">
        <v>3</v>
      </c>
      <c r="AG4" s="33">
        <v>1</v>
      </c>
    </row>
    <row r="5" spans="1:33" ht="15" x14ac:dyDescent="0.2">
      <c r="A5" s="34" t="s">
        <v>84</v>
      </c>
      <c r="B5" s="37" t="s">
        <v>36</v>
      </c>
      <c r="C5" s="37" t="s">
        <v>85</v>
      </c>
      <c r="D5" s="37">
        <v>29</v>
      </c>
      <c r="E5" s="37" t="s">
        <v>38</v>
      </c>
      <c r="F5" s="37">
        <v>220</v>
      </c>
      <c r="G5" s="38" t="s">
        <v>86</v>
      </c>
      <c r="H5" s="37" t="s">
        <v>87</v>
      </c>
      <c r="I5" s="37">
        <v>0</v>
      </c>
      <c r="J5" s="33">
        <v>14</v>
      </c>
      <c r="K5" s="33">
        <v>19.57</v>
      </c>
      <c r="L5" s="33">
        <v>13.59</v>
      </c>
      <c r="M5" s="33">
        <v>18.649999999999999</v>
      </c>
      <c r="N5" s="33">
        <v>11.29</v>
      </c>
      <c r="O5" s="33">
        <v>14</v>
      </c>
      <c r="P5" s="33">
        <v>21.8</v>
      </c>
      <c r="Q5" s="33">
        <v>11.16</v>
      </c>
      <c r="R5" s="33">
        <v>21.28</v>
      </c>
      <c r="S5" s="33">
        <v>11.01</v>
      </c>
      <c r="T5" s="37">
        <f t="shared" si="0"/>
        <v>-0.92000000000000171</v>
      </c>
      <c r="U5" s="37">
        <f t="shared" si="1"/>
        <v>-0.51999999999999957</v>
      </c>
      <c r="V5" s="37">
        <f t="shared" si="2"/>
        <v>11.315249886767857</v>
      </c>
      <c r="W5" s="37">
        <f t="shared" si="3"/>
        <v>9.9156331114054446</v>
      </c>
      <c r="X5" s="37">
        <f t="shared" si="4"/>
        <v>9.8665424541730946</v>
      </c>
      <c r="Y5" s="37">
        <f t="shared" si="5"/>
        <v>8.58751768557131</v>
      </c>
      <c r="Z5" s="37">
        <f t="shared" si="6"/>
        <v>8.1647069757585307</v>
      </c>
      <c r="AA5" s="37">
        <f t="shared" si="7"/>
        <v>7.0122136305164009</v>
      </c>
      <c r="AB5" s="37">
        <f t="shared" si="8"/>
        <v>5.9980180059749744</v>
      </c>
      <c r="AC5" s="37">
        <f t="shared" si="9"/>
        <v>4.959518121753363</v>
      </c>
      <c r="AD5" s="33"/>
      <c r="AE5" s="33">
        <v>4</v>
      </c>
      <c r="AF5" s="33">
        <v>1</v>
      </c>
      <c r="AG5" s="33">
        <v>2</v>
      </c>
    </row>
    <row r="6" spans="1:33" ht="15" x14ac:dyDescent="0.2">
      <c r="A6" s="34" t="s">
        <v>84</v>
      </c>
      <c r="B6" s="37" t="s">
        <v>36</v>
      </c>
      <c r="C6" s="37" t="s">
        <v>85</v>
      </c>
      <c r="D6" s="37">
        <v>29</v>
      </c>
      <c r="E6" s="37" t="s">
        <v>38</v>
      </c>
      <c r="F6" s="37">
        <v>220</v>
      </c>
      <c r="G6" s="38" t="s">
        <v>86</v>
      </c>
      <c r="H6" s="37" t="s">
        <v>87</v>
      </c>
      <c r="I6" s="33">
        <v>1</v>
      </c>
      <c r="J6" s="33">
        <v>14</v>
      </c>
      <c r="K6" s="33">
        <v>19.57</v>
      </c>
      <c r="L6" s="33">
        <v>13.59</v>
      </c>
      <c r="M6" s="33">
        <v>19.440000000000001</v>
      </c>
      <c r="N6" s="33">
        <v>11.82</v>
      </c>
      <c r="O6" s="33">
        <v>14</v>
      </c>
      <c r="P6" s="33">
        <v>21.8</v>
      </c>
      <c r="Q6" s="33">
        <v>11.16</v>
      </c>
      <c r="R6" s="33">
        <v>23.11</v>
      </c>
      <c r="S6" s="33">
        <v>9.26</v>
      </c>
      <c r="T6" s="37">
        <f t="shared" si="0"/>
        <v>-0.12999999999999901</v>
      </c>
      <c r="U6" s="37">
        <f t="shared" si="1"/>
        <v>1.3099999999999987</v>
      </c>
      <c r="V6" s="37">
        <f t="shared" si="2"/>
        <v>11.473444992677656</v>
      </c>
      <c r="W6" s="37">
        <f t="shared" si="3"/>
        <v>9.2888793726692356</v>
      </c>
      <c r="X6" s="37">
        <f t="shared" si="4"/>
        <v>9.9756293034574988</v>
      </c>
      <c r="Y6" s="37">
        <f t="shared" si="5"/>
        <v>8.1003061670531959</v>
      </c>
      <c r="Z6" s="37">
        <f t="shared" si="6"/>
        <v>8.2089231936959912</v>
      </c>
      <c r="AA6" s="37">
        <f t="shared" si="7"/>
        <v>6.7042255331991925</v>
      </c>
      <c r="AB6" s="37">
        <f t="shared" si="8"/>
        <v>5.9379845065476502</v>
      </c>
      <c r="AC6" s="37">
        <f t="shared" si="9"/>
        <v>4.9273035222117185</v>
      </c>
      <c r="AD6" s="33"/>
      <c r="AE6" s="33">
        <v>5</v>
      </c>
      <c r="AF6" s="33">
        <v>2</v>
      </c>
      <c r="AG6" s="33">
        <v>2</v>
      </c>
    </row>
    <row r="7" spans="1:33" ht="15" x14ac:dyDescent="0.2">
      <c r="A7" s="34" t="s">
        <v>88</v>
      </c>
      <c r="B7" s="37" t="s">
        <v>36</v>
      </c>
      <c r="C7" s="37" t="s">
        <v>85</v>
      </c>
      <c r="D7" s="37">
        <v>29</v>
      </c>
      <c r="E7" s="37" t="s">
        <v>38</v>
      </c>
      <c r="F7" s="37">
        <v>220</v>
      </c>
      <c r="G7" s="38" t="s">
        <v>86</v>
      </c>
      <c r="H7" s="37" t="s">
        <v>87</v>
      </c>
      <c r="I7" s="33">
        <v>3</v>
      </c>
      <c r="J7" s="33">
        <v>14</v>
      </c>
      <c r="K7" s="33">
        <v>19.57</v>
      </c>
      <c r="L7" s="33">
        <v>13.59</v>
      </c>
      <c r="M7" s="33">
        <v>20.03</v>
      </c>
      <c r="N7" s="33">
        <v>8.93</v>
      </c>
      <c r="O7" s="33">
        <v>14</v>
      </c>
      <c r="P7" s="33">
        <v>21.8</v>
      </c>
      <c r="Q7" s="33">
        <v>11.16</v>
      </c>
      <c r="R7" s="33">
        <v>25.48</v>
      </c>
      <c r="S7" s="33">
        <v>7.88</v>
      </c>
      <c r="T7" s="37">
        <f t="shared" si="0"/>
        <v>0.46000000000000085</v>
      </c>
      <c r="U7" s="37">
        <f t="shared" si="1"/>
        <v>3.6799999999999997</v>
      </c>
      <c r="V7" s="37">
        <f t="shared" si="2"/>
        <v>10.899658710253272</v>
      </c>
      <c r="W7" s="37">
        <f t="shared" si="3"/>
        <v>9.0061667761595459</v>
      </c>
      <c r="X7" s="37">
        <f t="shared" si="4"/>
        <v>9.7226961281323607</v>
      </c>
      <c r="Y7" s="37">
        <f t="shared" si="5"/>
        <v>7.9701242148413236</v>
      </c>
      <c r="Z7" s="37">
        <f t="shared" si="6"/>
        <v>8.3820689570057834</v>
      </c>
      <c r="AA7" s="37">
        <f t="shared" si="7"/>
        <v>6.7775157690705523</v>
      </c>
      <c r="AB7" s="37">
        <f t="shared" si="8"/>
        <v>6.7813966113183488</v>
      </c>
      <c r="AC7" s="37">
        <f t="shared" si="9"/>
        <v>5.3241487582523472</v>
      </c>
      <c r="AD7" s="33"/>
      <c r="AE7" s="33">
        <v>6</v>
      </c>
      <c r="AF7" s="33">
        <v>3</v>
      </c>
      <c r="AG7" s="33">
        <v>2</v>
      </c>
    </row>
    <row r="8" spans="1:33" ht="15" x14ac:dyDescent="0.2">
      <c r="A8" s="39" t="s">
        <v>89</v>
      </c>
      <c r="B8" s="39" t="s">
        <v>46</v>
      </c>
      <c r="C8" s="33" t="s">
        <v>67</v>
      </c>
      <c r="D8" s="37">
        <v>22</v>
      </c>
      <c r="E8" s="38" t="s">
        <v>43</v>
      </c>
      <c r="F8" s="37">
        <v>220</v>
      </c>
      <c r="G8" s="33" t="s">
        <v>71</v>
      </c>
      <c r="H8" s="37" t="s">
        <v>87</v>
      </c>
      <c r="I8" s="33">
        <v>0</v>
      </c>
      <c r="J8" s="33">
        <v>20</v>
      </c>
      <c r="K8" s="33">
        <v>2.8886659979939699E-3</v>
      </c>
      <c r="L8" s="33">
        <f t="shared" ref="L8:L13" si="10">K8/2</f>
        <v>1.444332998996985E-3</v>
      </c>
      <c r="M8" s="33">
        <v>3.0090270812437201E-3</v>
      </c>
      <c r="N8" s="33">
        <f t="shared" ref="N8:N13" si="11">M8/2</f>
        <v>1.5045135406218601E-3</v>
      </c>
      <c r="O8" s="33">
        <v>20</v>
      </c>
      <c r="P8" s="33">
        <v>1.1193580742226599E-2</v>
      </c>
      <c r="Q8" s="33">
        <f t="shared" ref="Q8:Q13" si="12">P8/2</f>
        <v>5.5967903711132997E-3</v>
      </c>
      <c r="R8" s="33">
        <v>1.0411233701103299E-2</v>
      </c>
      <c r="S8" s="33">
        <f t="shared" ref="S8:S13" si="13">R8/2</f>
        <v>5.2056168505516497E-3</v>
      </c>
      <c r="T8" s="37">
        <f t="shared" si="0"/>
        <v>1.2036108324975023E-4</v>
      </c>
      <c r="U8" s="37">
        <f t="shared" si="1"/>
        <v>-7.8234704112330015E-4</v>
      </c>
      <c r="V8" s="37">
        <f t="shared" si="2"/>
        <v>1.319862318924447E-3</v>
      </c>
      <c r="W8" s="37">
        <f t="shared" si="3"/>
        <v>4.8436364164836619E-3</v>
      </c>
      <c r="X8" s="37">
        <f t="shared" si="4"/>
        <v>1.1434302908726135E-3</v>
      </c>
      <c r="Y8" s="37">
        <f t="shared" si="5"/>
        <v>4.1992695176794942E-3</v>
      </c>
      <c r="Z8" s="37">
        <f t="shared" si="6"/>
        <v>9.3425324150009847E-4</v>
      </c>
      <c r="AA8" s="37">
        <f t="shared" si="7"/>
        <v>3.4361192105539125E-3</v>
      </c>
      <c r="AB8" s="37">
        <f t="shared" si="8"/>
        <v>6.6198595787361845E-4</v>
      </c>
      <c r="AC8" s="37">
        <f t="shared" si="9"/>
        <v>2.4453968954268189E-3</v>
      </c>
      <c r="AD8" s="33"/>
      <c r="AE8" s="33">
        <v>7</v>
      </c>
      <c r="AF8" s="33">
        <v>1</v>
      </c>
      <c r="AG8" s="33">
        <v>3</v>
      </c>
    </row>
    <row r="9" spans="1:33" ht="15" x14ac:dyDescent="0.2">
      <c r="A9" s="39" t="s">
        <v>89</v>
      </c>
      <c r="B9" s="39" t="s">
        <v>46</v>
      </c>
      <c r="C9" s="33" t="s">
        <v>67</v>
      </c>
      <c r="D9" s="37">
        <v>22</v>
      </c>
      <c r="E9" s="38" t="s">
        <v>43</v>
      </c>
      <c r="F9" s="37">
        <v>220</v>
      </c>
      <c r="G9" s="33" t="s">
        <v>71</v>
      </c>
      <c r="H9" s="37" t="s">
        <v>87</v>
      </c>
      <c r="I9" s="33">
        <v>1</v>
      </c>
      <c r="J9" s="33">
        <v>20</v>
      </c>
      <c r="K9" s="33">
        <v>2.8886659979939699E-3</v>
      </c>
      <c r="L9" s="33">
        <f t="shared" si="10"/>
        <v>1.444332998996985E-3</v>
      </c>
      <c r="M9" s="33">
        <v>8.1845536609829392E-3</v>
      </c>
      <c r="N9" s="33">
        <f t="shared" si="11"/>
        <v>4.0922768304914696E-3</v>
      </c>
      <c r="O9" s="33">
        <v>20</v>
      </c>
      <c r="P9" s="33">
        <v>1.1193580742226599E-2</v>
      </c>
      <c r="Q9" s="33">
        <f t="shared" si="12"/>
        <v>5.5967903711132997E-3</v>
      </c>
      <c r="R9" s="33">
        <v>1.1795386158475399E-2</v>
      </c>
      <c r="S9" s="33">
        <f t="shared" si="13"/>
        <v>5.8976930792376996E-3</v>
      </c>
      <c r="T9" s="37">
        <f t="shared" si="0"/>
        <v>5.2958876629889693E-3</v>
      </c>
      <c r="U9" s="37">
        <f t="shared" si="1"/>
        <v>6.0180541624879971E-4</v>
      </c>
      <c r="V9" s="37">
        <f t="shared" si="2"/>
        <v>3.4263821895108826E-3</v>
      </c>
      <c r="W9" s="37">
        <f t="shared" si="3"/>
        <v>5.1475298843118803E-3</v>
      </c>
      <c r="X9" s="37">
        <f t="shared" si="4"/>
        <v>3.2493034353743362E-3</v>
      </c>
      <c r="Y9" s="37">
        <f t="shared" si="5"/>
        <v>4.4604297486175101E-3</v>
      </c>
      <c r="Z9" s="37">
        <f t="shared" si="6"/>
        <v>3.0620010975950908E-3</v>
      </c>
      <c r="AA9" s="37">
        <f t="shared" si="7"/>
        <v>3.6460668088805284E-3</v>
      </c>
      <c r="AB9" s="37">
        <f t="shared" si="8"/>
        <v>2.8624689741919675E-3</v>
      </c>
      <c r="AC9" s="37">
        <f t="shared" si="9"/>
        <v>2.5869234250917479E-3</v>
      </c>
      <c r="AD9" s="33"/>
      <c r="AE9" s="33">
        <v>8</v>
      </c>
      <c r="AF9" s="33">
        <v>2</v>
      </c>
      <c r="AG9" s="33">
        <v>3</v>
      </c>
    </row>
    <row r="10" spans="1:33" ht="15" x14ac:dyDescent="0.2">
      <c r="A10" s="39" t="s">
        <v>89</v>
      </c>
      <c r="B10" s="39" t="s">
        <v>46</v>
      </c>
      <c r="C10" s="33" t="s">
        <v>67</v>
      </c>
      <c r="D10" s="37">
        <v>22</v>
      </c>
      <c r="E10" s="38" t="s">
        <v>43</v>
      </c>
      <c r="F10" s="37">
        <v>220</v>
      </c>
      <c r="G10" s="33" t="s">
        <v>71</v>
      </c>
      <c r="H10" s="37" t="s">
        <v>87</v>
      </c>
      <c r="I10" s="33">
        <v>2</v>
      </c>
      <c r="J10" s="33">
        <v>20</v>
      </c>
      <c r="K10" s="33">
        <v>2.8886659979939699E-3</v>
      </c>
      <c r="L10" s="33">
        <f t="shared" si="10"/>
        <v>1.444332998996985E-3</v>
      </c>
      <c r="M10" s="33">
        <v>2.75025075225677E-2</v>
      </c>
      <c r="N10" s="33">
        <f t="shared" si="11"/>
        <v>1.375125376128385E-2</v>
      </c>
      <c r="O10" s="33">
        <v>20</v>
      </c>
      <c r="P10" s="33">
        <v>1.1193580742226599E-2</v>
      </c>
      <c r="Q10" s="33">
        <f t="shared" si="12"/>
        <v>5.5967903711132997E-3</v>
      </c>
      <c r="R10" s="33">
        <v>2.2567703109327899E-2</v>
      </c>
      <c r="S10" s="33">
        <f t="shared" si="13"/>
        <v>1.1283851554663949E-2</v>
      </c>
      <c r="T10" s="37">
        <f t="shared" si="0"/>
        <v>2.4613841524573729E-2</v>
      </c>
      <c r="U10" s="37">
        <f t="shared" si="1"/>
        <v>1.1374122367101299E-2</v>
      </c>
      <c r="V10" s="37">
        <f t="shared" si="2"/>
        <v>1.2936360010343345E-2</v>
      </c>
      <c r="W10" s="37">
        <f t="shared" si="3"/>
        <v>9.1030404969779481E-3</v>
      </c>
      <c r="X10" s="37">
        <f t="shared" si="4"/>
        <v>1.2781906446231317E-2</v>
      </c>
      <c r="Y10" s="37">
        <f t="shared" si="5"/>
        <v>8.3806131006971991E-3</v>
      </c>
      <c r="Z10" s="37">
        <f t="shared" si="6"/>
        <v>1.2625563531312532E-2</v>
      </c>
      <c r="AA10" s="37">
        <f t="shared" si="7"/>
        <v>7.589730271724715E-3</v>
      </c>
      <c r="AB10" s="37">
        <f t="shared" si="8"/>
        <v>1.2467260186833683E-2</v>
      </c>
      <c r="AC10" s="37">
        <f t="shared" si="9"/>
        <v>6.7062161649839112E-3</v>
      </c>
      <c r="AD10" s="33"/>
      <c r="AE10" s="33">
        <v>9</v>
      </c>
      <c r="AF10" s="33">
        <v>3</v>
      </c>
      <c r="AG10" s="33">
        <v>3</v>
      </c>
    </row>
    <row r="11" spans="1:33" ht="15" x14ac:dyDescent="0.2">
      <c r="A11" s="39" t="s">
        <v>89</v>
      </c>
      <c r="B11" s="39" t="s">
        <v>46</v>
      </c>
      <c r="C11" s="33" t="s">
        <v>67</v>
      </c>
      <c r="D11" s="37">
        <v>22</v>
      </c>
      <c r="E11" s="38" t="s">
        <v>43</v>
      </c>
      <c r="F11" s="37">
        <v>220</v>
      </c>
      <c r="G11" s="33" t="s">
        <v>71</v>
      </c>
      <c r="H11" s="37" t="s">
        <v>87</v>
      </c>
      <c r="I11" s="33">
        <v>3</v>
      </c>
      <c r="J11" s="33">
        <v>20</v>
      </c>
      <c r="K11" s="33">
        <v>2.8886659979939699E-3</v>
      </c>
      <c r="L11" s="33">
        <f t="shared" si="10"/>
        <v>1.444332998996985E-3</v>
      </c>
      <c r="M11" s="33">
        <v>4.39317953861584E-2</v>
      </c>
      <c r="N11" s="33">
        <f t="shared" si="11"/>
        <v>2.19658976930792E-2</v>
      </c>
      <c r="O11" s="33">
        <v>20</v>
      </c>
      <c r="P11" s="33">
        <v>1.1193580742226599E-2</v>
      </c>
      <c r="Q11" s="33">
        <f t="shared" si="12"/>
        <v>5.5967903711132997E-3</v>
      </c>
      <c r="R11" s="33">
        <v>3.3640922768304903E-2</v>
      </c>
      <c r="S11" s="33">
        <f t="shared" si="13"/>
        <v>1.6820461384152451E-2</v>
      </c>
      <c r="T11" s="37">
        <f t="shared" si="0"/>
        <v>4.1043129388164429E-2</v>
      </c>
      <c r="U11" s="37">
        <f t="shared" si="1"/>
        <v>2.2447342026078301E-2</v>
      </c>
      <c r="V11" s="37">
        <f t="shared" si="2"/>
        <v>2.1130912763199949E-2</v>
      </c>
      <c r="W11" s="37">
        <f t="shared" si="3"/>
        <v>1.4187433455665661E-2</v>
      </c>
      <c r="X11" s="37">
        <f t="shared" si="4"/>
        <v>2.0980234985047839E-2</v>
      </c>
      <c r="Y11" s="37">
        <f t="shared" si="5"/>
        <v>1.3507595966582646E-2</v>
      </c>
      <c r="Z11" s="37">
        <f t="shared" si="6"/>
        <v>2.0828467198756705E-2</v>
      </c>
      <c r="AA11" s="37">
        <f t="shared" si="7"/>
        <v>1.2791678135957701E-2</v>
      </c>
      <c r="AB11" s="37">
        <f t="shared" si="8"/>
        <v>2.0675585400939507E-2</v>
      </c>
      <c r="AC11" s="37">
        <f t="shared" si="9"/>
        <v>1.2033241885353953E-2</v>
      </c>
      <c r="AD11" s="33"/>
      <c r="AE11" s="33">
        <v>10</v>
      </c>
      <c r="AF11" s="33">
        <v>4</v>
      </c>
      <c r="AG11" s="33">
        <v>3</v>
      </c>
    </row>
    <row r="12" spans="1:33" ht="15" x14ac:dyDescent="0.2">
      <c r="A12" s="39" t="s">
        <v>89</v>
      </c>
      <c r="B12" s="39" t="s">
        <v>46</v>
      </c>
      <c r="C12" s="33" t="s">
        <v>67</v>
      </c>
      <c r="D12" s="37">
        <v>22</v>
      </c>
      <c r="E12" s="38" t="s">
        <v>43</v>
      </c>
      <c r="F12" s="37">
        <v>220</v>
      </c>
      <c r="G12" s="33" t="s">
        <v>71</v>
      </c>
      <c r="H12" s="37" t="s">
        <v>87</v>
      </c>
      <c r="I12" s="33">
        <v>4</v>
      </c>
      <c r="J12" s="33">
        <v>20</v>
      </c>
      <c r="K12" s="33">
        <v>2.8886659979939699E-3</v>
      </c>
      <c r="L12" s="33">
        <f t="shared" si="10"/>
        <v>1.444332998996985E-3</v>
      </c>
      <c r="M12" s="33">
        <v>4.5797392176529499E-2</v>
      </c>
      <c r="N12" s="33">
        <f t="shared" si="11"/>
        <v>2.2898696088264749E-2</v>
      </c>
      <c r="O12" s="33">
        <v>20</v>
      </c>
      <c r="P12" s="33">
        <v>1.1193580742226599E-2</v>
      </c>
      <c r="Q12" s="33">
        <f t="shared" si="12"/>
        <v>5.5967903711132997E-3</v>
      </c>
      <c r="R12" s="33">
        <v>3.5506519558676002E-2</v>
      </c>
      <c r="S12" s="33">
        <f t="shared" si="13"/>
        <v>1.7753259779338001E-2</v>
      </c>
      <c r="T12" s="37">
        <f t="shared" si="0"/>
        <v>4.2908726178535528E-2</v>
      </c>
      <c r="U12" s="37">
        <f t="shared" si="1"/>
        <v>2.43129388164494E-2</v>
      </c>
      <c r="V12" s="37">
        <f t="shared" si="2"/>
        <v>2.2062374520471776E-2</v>
      </c>
      <c r="W12" s="37">
        <f t="shared" si="3"/>
        <v>1.5075435887038245E-2</v>
      </c>
      <c r="X12" s="37">
        <f t="shared" si="4"/>
        <v>2.1911953381720795E-2</v>
      </c>
      <c r="Y12" s="37">
        <f t="shared" si="5"/>
        <v>1.440126773955773E-2</v>
      </c>
      <c r="Z12" s="37">
        <f t="shared" si="6"/>
        <v>2.1760492469699501E-2</v>
      </c>
      <c r="AA12" s="37">
        <f t="shared" si="7"/>
        <v>1.3693949679645089E-2</v>
      </c>
      <c r="AB12" s="37">
        <f t="shared" si="8"/>
        <v>2.1607969919568839E-2</v>
      </c>
      <c r="AC12" s="37">
        <f t="shared" si="9"/>
        <v>1.2948050167916305E-2</v>
      </c>
      <c r="AD12" s="33"/>
      <c r="AE12" s="33">
        <v>11</v>
      </c>
      <c r="AF12" s="33">
        <v>5</v>
      </c>
      <c r="AG12" s="33">
        <v>3</v>
      </c>
    </row>
    <row r="13" spans="1:33" ht="15" x14ac:dyDescent="0.2">
      <c r="A13" s="39" t="s">
        <v>89</v>
      </c>
      <c r="B13" s="39" t="s">
        <v>46</v>
      </c>
      <c r="C13" s="33" t="s">
        <v>67</v>
      </c>
      <c r="D13" s="37">
        <v>22</v>
      </c>
      <c r="E13" s="38" t="s">
        <v>43</v>
      </c>
      <c r="F13" s="37">
        <v>220</v>
      </c>
      <c r="G13" s="33" t="s">
        <v>71</v>
      </c>
      <c r="H13" s="37" t="s">
        <v>87</v>
      </c>
      <c r="I13" s="33">
        <v>8</v>
      </c>
      <c r="J13" s="33">
        <v>20</v>
      </c>
      <c r="K13" s="33">
        <v>2.8886659979939699E-3</v>
      </c>
      <c r="L13" s="33">
        <f t="shared" si="10"/>
        <v>1.444332998996985E-3</v>
      </c>
      <c r="M13" s="33">
        <v>3.7673019057171499E-2</v>
      </c>
      <c r="N13" s="33">
        <f t="shared" si="11"/>
        <v>1.8836509528585749E-2</v>
      </c>
      <c r="O13" s="33">
        <v>20</v>
      </c>
      <c r="P13" s="33">
        <v>1.1193580742226599E-2</v>
      </c>
      <c r="Q13" s="33">
        <f t="shared" si="12"/>
        <v>5.5967903711132997E-3</v>
      </c>
      <c r="R13" s="33">
        <v>3.3701103309929703E-2</v>
      </c>
      <c r="S13" s="33">
        <f t="shared" si="13"/>
        <v>1.6850551654964852E-2</v>
      </c>
      <c r="T13" s="37">
        <f t="shared" si="0"/>
        <v>3.4784353059177528E-2</v>
      </c>
      <c r="U13" s="37">
        <f t="shared" si="1"/>
        <v>2.2507522567703102E-2</v>
      </c>
      <c r="V13" s="37">
        <f t="shared" si="2"/>
        <v>1.8007019694408745E-2</v>
      </c>
      <c r="W13" s="37">
        <f t="shared" si="3"/>
        <v>1.421598914019984E-2</v>
      </c>
      <c r="X13" s="37">
        <f t="shared" si="4"/>
        <v>1.7855293887674119E-2</v>
      </c>
      <c r="Y13" s="37">
        <f t="shared" si="5"/>
        <v>1.3536341683933252E-2</v>
      </c>
      <c r="Z13" s="37">
        <f t="shared" si="6"/>
        <v>1.7702267689637997E-2</v>
      </c>
      <c r="AA13" s="37">
        <f t="shared" si="7"/>
        <v>1.2820715468884643E-2</v>
      </c>
      <c r="AB13" s="37">
        <f t="shared" si="8"/>
        <v>1.7547907080218705E-2</v>
      </c>
      <c r="AC13" s="37">
        <f t="shared" si="9"/>
        <v>1.2062708820327509E-2</v>
      </c>
      <c r="AD13" s="33"/>
      <c r="AE13" s="33">
        <v>12</v>
      </c>
      <c r="AF13" s="33">
        <v>6</v>
      </c>
      <c r="AG13" s="33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97AB-BB4A-4D61-9407-57F52E202E30}">
  <dimension ref="A1:AD4"/>
  <sheetViews>
    <sheetView tabSelected="1" workbookViewId="0">
      <selection activeCell="X1" sqref="X1:X1048576"/>
    </sheetView>
  </sheetViews>
  <sheetFormatPr defaultRowHeight="14.25" x14ac:dyDescent="0.2"/>
  <cols>
    <col min="22" max="22" width="12.5" bestFit="1" customWidth="1"/>
    <col min="23" max="23" width="13.5" bestFit="1" customWidth="1"/>
    <col min="24" max="24" width="10.375" bestFit="1" customWidth="1"/>
    <col min="25" max="25" width="11.375" bestFit="1" customWidth="1"/>
  </cols>
  <sheetData>
    <row r="1" spans="1:30" ht="24.75" customHeight="1" x14ac:dyDescent="0.2">
      <c r="A1" s="1" t="s">
        <v>90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75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31</v>
      </c>
      <c r="AA1" s="2" t="s">
        <v>32</v>
      </c>
      <c r="AB1" s="2" t="s">
        <v>33</v>
      </c>
      <c r="AC1" s="2" t="s">
        <v>34</v>
      </c>
    </row>
    <row r="2" spans="1:30" ht="15" x14ac:dyDescent="0.2">
      <c r="A2" s="34" t="s">
        <v>76</v>
      </c>
      <c r="B2" s="5" t="s">
        <v>36</v>
      </c>
      <c r="C2" s="5" t="s">
        <v>37</v>
      </c>
      <c r="D2" s="5">
        <v>25</v>
      </c>
      <c r="E2" s="5" t="s">
        <v>38</v>
      </c>
      <c r="F2" s="5">
        <v>220</v>
      </c>
      <c r="G2" s="6" t="s">
        <v>77</v>
      </c>
      <c r="H2" s="5">
        <v>20</v>
      </c>
      <c r="I2" s="5" t="s">
        <v>78</v>
      </c>
      <c r="J2" s="5" t="s">
        <v>79</v>
      </c>
      <c r="K2" s="5">
        <v>0</v>
      </c>
      <c r="L2" s="5">
        <v>11</v>
      </c>
      <c r="M2" s="5">
        <v>4.8</v>
      </c>
      <c r="N2" s="5">
        <v>1.82</v>
      </c>
      <c r="O2" s="5">
        <v>5.7</v>
      </c>
      <c r="P2" s="5">
        <v>1.74</v>
      </c>
      <c r="Q2" s="5">
        <v>11</v>
      </c>
      <c r="R2" s="5">
        <v>5.3</v>
      </c>
      <c r="S2" s="5">
        <v>1.66</v>
      </c>
      <c r="T2" s="5">
        <v>3.6</v>
      </c>
      <c r="U2" s="5">
        <v>1.9</v>
      </c>
      <c r="V2" s="5">
        <f t="shared" ref="V2:V4" si="0">O2-M2</f>
        <v>0.90000000000000036</v>
      </c>
      <c r="W2" s="5">
        <f t="shared" ref="W2:W4" si="1">T2-R2</f>
        <v>-1.6999999999999997</v>
      </c>
      <c r="X2" s="5">
        <f>SQRT(POWER(N2,2)+POWER(P2,2)-(0.5*2*N2*P2))</f>
        <v>1.7813478043324384</v>
      </c>
      <c r="Y2" s="5">
        <f>SQRT(POWER(S2,2)+POWER(U2,2)-(0.5*2*S2*U2))</f>
        <v>1.7920937475478229</v>
      </c>
      <c r="Z2" s="40"/>
      <c r="AA2" s="40">
        <v>1</v>
      </c>
      <c r="AB2" s="40">
        <v>1</v>
      </c>
      <c r="AC2" s="40">
        <v>1</v>
      </c>
      <c r="AD2" s="33"/>
    </row>
    <row r="3" spans="1:30" ht="15" x14ac:dyDescent="0.2">
      <c r="A3" s="34" t="s">
        <v>80</v>
      </c>
      <c r="B3" s="5" t="s">
        <v>36</v>
      </c>
      <c r="C3" s="5" t="s">
        <v>37</v>
      </c>
      <c r="D3" s="5">
        <v>32</v>
      </c>
      <c r="E3" s="5" t="s">
        <v>38</v>
      </c>
      <c r="F3" s="5">
        <v>220</v>
      </c>
      <c r="G3" s="6" t="s">
        <v>47</v>
      </c>
      <c r="H3" s="5">
        <v>20</v>
      </c>
      <c r="I3" s="5" t="s">
        <v>81</v>
      </c>
      <c r="J3" s="5" t="s">
        <v>79</v>
      </c>
      <c r="K3" s="5">
        <v>0</v>
      </c>
      <c r="L3" s="5">
        <v>18</v>
      </c>
      <c r="M3" s="5">
        <v>5.77</v>
      </c>
      <c r="N3" s="5">
        <v>2.82</v>
      </c>
      <c r="O3" s="5">
        <v>4.26</v>
      </c>
      <c r="P3" s="5">
        <v>2.13</v>
      </c>
      <c r="Q3" s="5">
        <v>18</v>
      </c>
      <c r="R3" s="5">
        <v>6.04</v>
      </c>
      <c r="S3" s="5">
        <v>2.7</v>
      </c>
      <c r="T3" s="5">
        <v>3.94</v>
      </c>
      <c r="U3" s="5">
        <v>1.65</v>
      </c>
      <c r="V3" s="5">
        <f t="shared" si="0"/>
        <v>-1.5099999999999998</v>
      </c>
      <c r="W3" s="5">
        <f t="shared" si="1"/>
        <v>-2.1</v>
      </c>
      <c r="X3" s="5">
        <f t="shared" ref="X3:X4" si="2">SQRT(POWER(N3,2)+POWER(P3,2)-(0.5*2*N3*P3))</f>
        <v>2.5461146871262494</v>
      </c>
      <c r="Y3" s="5">
        <f t="shared" ref="Y3:Y4" si="3">SQRT(POWER(S3,2)+POWER(U3,2)-(0.5*2*S3*U3))</f>
        <v>2.3574350468252567</v>
      </c>
      <c r="Z3" s="40"/>
      <c r="AA3" s="40">
        <v>2</v>
      </c>
      <c r="AB3" s="40">
        <v>1</v>
      </c>
      <c r="AC3" s="40">
        <v>2</v>
      </c>
      <c r="AD3" s="33"/>
    </row>
    <row r="4" spans="1:30" ht="15" x14ac:dyDescent="0.2">
      <c r="A4" s="34" t="s">
        <v>82</v>
      </c>
      <c r="B4" s="5" t="s">
        <v>36</v>
      </c>
      <c r="C4" s="5" t="s">
        <v>37</v>
      </c>
      <c r="D4" s="5">
        <v>20.8</v>
      </c>
      <c r="E4" s="5" t="s">
        <v>38</v>
      </c>
      <c r="F4" s="5">
        <v>220</v>
      </c>
      <c r="G4" s="6" t="s">
        <v>77</v>
      </c>
      <c r="H4" s="40">
        <v>0</v>
      </c>
      <c r="I4" s="5" t="s">
        <v>78</v>
      </c>
      <c r="J4" s="5" t="s">
        <v>79</v>
      </c>
      <c r="K4" s="5" t="s">
        <v>83</v>
      </c>
      <c r="L4" s="5">
        <v>8</v>
      </c>
      <c r="M4" s="40">
        <v>4.76</v>
      </c>
      <c r="N4" s="40">
        <v>2.13</v>
      </c>
      <c r="O4" s="40">
        <v>6.35</v>
      </c>
      <c r="P4" s="40">
        <v>2.1800000000000002</v>
      </c>
      <c r="Q4" s="5">
        <v>8</v>
      </c>
      <c r="R4" s="40">
        <v>6.67</v>
      </c>
      <c r="S4" s="40">
        <v>3.18</v>
      </c>
      <c r="T4" s="40">
        <v>4.96</v>
      </c>
      <c r="U4" s="40">
        <v>2.65</v>
      </c>
      <c r="V4" s="5">
        <f t="shared" si="0"/>
        <v>1.5899999999999999</v>
      </c>
      <c r="W4" s="5">
        <f t="shared" si="1"/>
        <v>-1.71</v>
      </c>
      <c r="X4" s="5">
        <f t="shared" si="2"/>
        <v>2.155434990900909</v>
      </c>
      <c r="Y4" s="5">
        <f t="shared" si="3"/>
        <v>2.9509151122999118</v>
      </c>
      <c r="Z4" s="40"/>
      <c r="AA4" s="40">
        <v>3</v>
      </c>
      <c r="AB4" s="40">
        <v>1</v>
      </c>
      <c r="AC4" s="40">
        <v>3</v>
      </c>
      <c r="AD4" s="3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CK</vt:lpstr>
      <vt:lpstr>MP</vt:lpstr>
      <vt:lpstr>cTn</vt:lpstr>
      <vt:lpstr>FMD—0.5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 Zhang</dc:creator>
  <cp:lastModifiedBy>Yilin Zhang</cp:lastModifiedBy>
  <dcterms:created xsi:type="dcterms:W3CDTF">2026-02-12T15:06:36Z</dcterms:created>
  <dcterms:modified xsi:type="dcterms:W3CDTF">2026-03-27T11:28:57Z</dcterms:modified>
</cp:coreProperties>
</file>